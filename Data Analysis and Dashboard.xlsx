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ushil\Documents\1.1Projects for resume\Bank Loan Approval &amp; Risk Analysis\"/>
    </mc:Choice>
  </mc:AlternateContent>
  <xr:revisionPtr revIDLastSave="0" documentId="13_ncr:1_{A72D1B58-192B-472C-867E-D902CC0B6067}" xr6:coauthVersionLast="47" xr6:coauthVersionMax="47" xr10:uidLastSave="{00000000-0000-0000-0000-000000000000}"/>
  <bookViews>
    <workbookView xWindow="-108" yWindow="-108" windowWidth="23256" windowHeight="12456" firstSheet="4" activeTab="8" xr2:uid="{67539A8D-1B0E-49C9-8744-3F967419604A}"/>
  </bookViews>
  <sheets>
    <sheet name="Credit_score" sheetId="2" r:id="rId1"/>
    <sheet name="customers" sheetId="3" r:id="rId2"/>
    <sheet name="Loan_application" sheetId="4" r:id="rId3"/>
    <sheet name="loan_payments" sheetId="5" r:id="rId4"/>
    <sheet name="Cleaned Data" sheetId="1" r:id="rId5"/>
    <sheet name="Loan_Summary_Pivot" sheetId="7" r:id="rId6"/>
    <sheet name="Risk_Analysis_Pivot" sheetId="8" r:id="rId7"/>
    <sheet name="EMI_Analysis_Pivot" sheetId="9" r:id="rId8"/>
    <sheet name="Dashboard" sheetId="10" r:id="rId9"/>
  </sheets>
  <definedNames>
    <definedName name="age">customers[[#All],[age]]</definedName>
    <definedName name="annual_income">customers[[#All],[annual_income]]</definedName>
    <definedName name="city">customers[[#All],[city]]</definedName>
    <definedName name="credit_score_">Credit_score[credit_score]</definedName>
    <definedName name="Creditscore_customerid">Credit_score[[#All],[customer_id]]</definedName>
    <definedName name="customer_id">customers[[#All],[customer_id]]</definedName>
    <definedName name="Customer_id_loan">Loan_application[customer_id]</definedName>
    <definedName name="emi_amount">loan_payments!$D:$D</definedName>
    <definedName name="ExternalData_1" localSheetId="0" hidden="1">'Credit_score'!$A$1:$C$7</definedName>
    <definedName name="ExternalData_1" localSheetId="1" hidden="1">'customers'!$A$1:$H$7</definedName>
    <definedName name="ExternalData_1" localSheetId="2" hidden="1">Loan_application!$A$1:$H$7</definedName>
    <definedName name="ExternalData_1" localSheetId="3" hidden="1">loan_payments!$A$1:$E$7</definedName>
    <definedName name="full_name">customers[[#All],[full_name]]</definedName>
    <definedName name="interest_rate">Loan_application!$F:$F</definedName>
    <definedName name="loan_amount">Loan_application[[#All],[loan_amount]]</definedName>
    <definedName name="loan_id">Loan_application[[#All],[loan_id]]</definedName>
    <definedName name="loan_status">Loan_application[[#Headers],[loan_status]]</definedName>
    <definedName name="loan_type">Loan_application[[#All],[loan_type]]</definedName>
    <definedName name="Male">customers[gender]</definedName>
    <definedName name="marital_status">customers[[#All],[marital_status]]</definedName>
    <definedName name="payment_id">loan_payments!$A:$A</definedName>
    <definedName name="payment_status">loan_payments!$E:$E</definedName>
    <definedName name="Slicer_city">#N/A</definedName>
    <definedName name="Slicer_Loan_typ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1" l="1"/>
  <c r="D15" i="1"/>
  <c r="D16" i="1"/>
  <c r="D17" i="1"/>
  <c r="D18" i="1"/>
  <c r="D13" i="1"/>
  <c r="E14" i="1"/>
  <c r="E15" i="1"/>
  <c r="E16" i="1"/>
  <c r="E17" i="1"/>
  <c r="E18" i="1"/>
  <c r="E13" i="1"/>
  <c r="H14" i="1" a="1"/>
  <c r="H14" i="1" s="1"/>
  <c r="H15" i="1" a="1"/>
  <c r="H15" i="1"/>
  <c r="H16" i="1" a="1"/>
  <c r="H16" i="1"/>
  <c r="H17" i="1" a="1"/>
  <c r="H17" i="1" s="1"/>
  <c r="H18" i="1" a="1"/>
  <c r="H18" i="1" s="1"/>
  <c r="H13" i="1" a="1"/>
  <c r="H13" i="1" s="1"/>
  <c r="G13" i="1" a="1"/>
  <c r="G13" i="1" s="1"/>
  <c r="F14" i="1" a="1"/>
  <c r="F14" i="1"/>
  <c r="F15" i="1" a="1"/>
  <c r="F15" i="1"/>
  <c r="F16" i="1" a="1"/>
  <c r="F16" i="1"/>
  <c r="F17" i="1" a="1"/>
  <c r="F17" i="1"/>
  <c r="F18" i="1" a="1"/>
  <c r="F18" i="1"/>
  <c r="F13" i="1" a="1"/>
  <c r="F13" i="1" s="1"/>
  <c r="G4" i="1" a="1"/>
  <c r="G4" i="1"/>
  <c r="G5" i="1" a="1"/>
  <c r="G5" i="1" s="1"/>
  <c r="G6" i="1" a="1"/>
  <c r="G6" i="1" s="1"/>
  <c r="G7" i="1" a="1"/>
  <c r="G7" i="1"/>
  <c r="G8" i="1" a="1"/>
  <c r="G8" i="1"/>
  <c r="G3" i="1" a="1"/>
  <c r="G3" i="1" s="1"/>
  <c r="J3" i="1" a="1"/>
  <c r="J3" i="1" s="1"/>
  <c r="I4" i="1" a="1"/>
  <c r="I4" i="1" s="1"/>
  <c r="K4" i="1" s="1"/>
  <c r="L4" i="1" s="1"/>
  <c r="I5" i="1" a="1"/>
  <c r="I5" i="1" s="1"/>
  <c r="I6" i="1" a="1"/>
  <c r="I6" i="1" s="1"/>
  <c r="K6" i="1" s="1"/>
  <c r="L6" i="1" s="1"/>
  <c r="I7" i="1" a="1"/>
  <c r="I7" i="1" s="1"/>
  <c r="K7" i="1" s="1"/>
  <c r="L7" i="1" s="1"/>
  <c r="I8" i="1" a="1"/>
  <c r="I8" i="1" s="1"/>
  <c r="I3" i="1" a="1"/>
  <c r="I3" i="1" s="1"/>
  <c r="F4" i="1" a="1"/>
  <c r="F4" i="1" s="1"/>
  <c r="F5" i="1" a="1"/>
  <c r="F5" i="1" s="1"/>
  <c r="F6" i="1" a="1"/>
  <c r="F6" i="1"/>
  <c r="F7" i="1" a="1"/>
  <c r="F7" i="1"/>
  <c r="F8" i="1" a="1"/>
  <c r="F8" i="1" s="1"/>
  <c r="F3" i="1" a="1"/>
  <c r="F3" i="1" s="1"/>
  <c r="E4" i="1" a="1"/>
  <c r="E4" i="1" s="1"/>
  <c r="E5" i="1" a="1"/>
  <c r="E5" i="1" s="1"/>
  <c r="E6" i="1" a="1"/>
  <c r="E6" i="1" s="1"/>
  <c r="E7" i="1" a="1"/>
  <c r="E7" i="1" s="1"/>
  <c r="E8" i="1" a="1"/>
  <c r="E8" i="1" s="1"/>
  <c r="E3" i="1" a="1"/>
  <c r="E3" i="1" s="1"/>
  <c r="D4" i="1" a="1"/>
  <c r="D4" i="1" s="1"/>
  <c r="D5" i="1" a="1"/>
  <c r="D5" i="1" s="1"/>
  <c r="D6" i="1" a="1"/>
  <c r="D6" i="1" s="1"/>
  <c r="D7" i="1" a="1"/>
  <c r="D7" i="1" s="1"/>
  <c r="D8" i="1" a="1"/>
  <c r="D8" i="1" s="1"/>
  <c r="C4" i="1" a="1"/>
  <c r="C4" i="1" s="1"/>
  <c r="C5" i="1" a="1"/>
  <c r="C5" i="1"/>
  <c r="C6" i="1" a="1"/>
  <c r="C6" i="1" s="1"/>
  <c r="C7" i="1" a="1"/>
  <c r="C7" i="1" s="1"/>
  <c r="C8" i="1" a="1"/>
  <c r="C8" i="1" s="1"/>
  <c r="C3" i="1" a="1"/>
  <c r="C3" i="1" s="1"/>
  <c r="D3" i="1" a="1"/>
  <c r="D3" i="1" s="1"/>
  <c r="K5" i="1" l="1"/>
  <c r="L5" i="1" s="1"/>
  <c r="K3" i="1"/>
  <c r="L3" i="1" s="1"/>
  <c r="K8" i="1"/>
  <c r="L8"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CE9AD-E6B3-4261-995D-81EF95DAA97F}" keepAlive="1" name="Query - Credit_score" description="Connection to the 'Credit_score' query in the workbook." type="5" refreshedVersion="8" background="1" saveData="1">
    <dbPr connection="Provider=Microsoft.Mashup.OleDb.1;Data Source=$Workbook$;Location=Credit_score;Extended Properties=&quot;&quot;" command="SELECT * FROM [Credit_score]"/>
  </connection>
  <connection id="2" xr16:uid="{040340F0-6996-4F89-B6FD-EE6C6C4A05F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130C0C88-EFBB-4144-8276-CDA59EB67597}" keepAlive="1" name="Query - Loan_application" description="Connection to the 'Loan_application' query in the workbook." type="5" refreshedVersion="8" background="1" saveData="1">
    <dbPr connection="Provider=Microsoft.Mashup.OleDb.1;Data Source=$Workbook$;Location=Loan_application;Extended Properties=&quot;&quot;" command="SELECT * FROM [Loan_application]"/>
  </connection>
  <connection id="4" xr16:uid="{1A487A4E-14B0-4338-ADB9-887C60B6A615}" keepAlive="1" name="Query - loan_payments" description="Connection to the 'loan_payments' query in the workbook." type="5" refreshedVersion="8" background="1" saveData="1">
    <dbPr connection="Provider=Microsoft.Mashup.OleDb.1;Data Source=$Workbook$;Location=loan_payments;Extended Properties=&quot;&quot;" command="SELECT * FROM [loan_paymen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<sst xmlns="http://schemas.openxmlformats.org/spreadsheetml/2006/main" count="208" uniqueCount="105">
  <si>
    <t>customer_id</t>
  </si>
  <si>
    <t>credit_score</t>
  </si>
  <si>
    <t>risk_category</t>
  </si>
  <si>
    <t>C001</t>
  </si>
  <si>
    <t>Low</t>
  </si>
  <si>
    <t>C002</t>
  </si>
  <si>
    <t>Medium</t>
  </si>
  <si>
    <t>C003</t>
  </si>
  <si>
    <t>High</t>
  </si>
  <si>
    <t>C004</t>
  </si>
  <si>
    <t>C005</t>
  </si>
  <si>
    <t>C006</t>
  </si>
  <si>
    <t>full_name</t>
  </si>
  <si>
    <t>age</t>
  </si>
  <si>
    <t>gender</t>
  </si>
  <si>
    <t>marital_status</t>
  </si>
  <si>
    <t>employment_type</t>
  </si>
  <si>
    <t>annual_income</t>
  </si>
  <si>
    <t>city</t>
  </si>
  <si>
    <t>Rahul Sharma</t>
  </si>
  <si>
    <t>Male</t>
  </si>
  <si>
    <t>Married</t>
  </si>
  <si>
    <t>Salaried</t>
  </si>
  <si>
    <t>Mumbai</t>
  </si>
  <si>
    <t>Anita Verma</t>
  </si>
  <si>
    <t>Female</t>
  </si>
  <si>
    <t>Single</t>
  </si>
  <si>
    <t>Pune</t>
  </si>
  <si>
    <t>Suresh Patil</t>
  </si>
  <si>
    <t>Business</t>
  </si>
  <si>
    <t>Nagpur</t>
  </si>
  <si>
    <t>Pooja Singh</t>
  </si>
  <si>
    <t>Delhi</t>
  </si>
  <si>
    <t>Amit Kulkarni</t>
  </si>
  <si>
    <t>Bangalore</t>
  </si>
  <si>
    <t>Neha Joshi</t>
  </si>
  <si>
    <t>Nashik</t>
  </si>
  <si>
    <t>loan_id</t>
  </si>
  <si>
    <t>loan_type</t>
  </si>
  <si>
    <t>loan_amount</t>
  </si>
  <si>
    <t>loan_tenure_years</t>
  </si>
  <si>
    <t>interest_rate</t>
  </si>
  <si>
    <t>application_date</t>
  </si>
  <si>
    <t>loan_status</t>
  </si>
  <si>
    <t>L001</t>
  </si>
  <si>
    <t>Home Loan</t>
  </si>
  <si>
    <t>Approved</t>
  </si>
  <si>
    <t>L002</t>
  </si>
  <si>
    <t>Personal Loan</t>
  </si>
  <si>
    <t>L003</t>
  </si>
  <si>
    <t>Business Loan</t>
  </si>
  <si>
    <t>Rejected</t>
  </si>
  <si>
    <t>L004</t>
  </si>
  <si>
    <t>Car Loan</t>
  </si>
  <si>
    <t>L005</t>
  </si>
  <si>
    <t>L006</t>
  </si>
  <si>
    <t>Pending</t>
  </si>
  <si>
    <t>payment_id</t>
  </si>
  <si>
    <t>payment_date</t>
  </si>
  <si>
    <t>emi_amount</t>
  </si>
  <si>
    <t>payment_status</t>
  </si>
  <si>
    <t>P001</t>
  </si>
  <si>
    <t>Paid</t>
  </si>
  <si>
    <t>P002</t>
  </si>
  <si>
    <t>P003</t>
  </si>
  <si>
    <t>P004</t>
  </si>
  <si>
    <t>Missed</t>
  </si>
  <si>
    <t>P005</t>
  </si>
  <si>
    <t>P006</t>
  </si>
  <si>
    <t>c002</t>
  </si>
  <si>
    <t>c001</t>
  </si>
  <si>
    <t>c004</t>
  </si>
  <si>
    <t>c005</t>
  </si>
  <si>
    <t>Loan_id</t>
  </si>
  <si>
    <t>Customer_id</t>
  </si>
  <si>
    <t>laon_to_income</t>
  </si>
  <si>
    <t>risk_flag</t>
  </si>
  <si>
    <t>Customer_name</t>
  </si>
  <si>
    <t>c003</t>
  </si>
  <si>
    <t>c006</t>
  </si>
  <si>
    <t>l001</t>
  </si>
  <si>
    <t>l002</t>
  </si>
  <si>
    <t>l003</t>
  </si>
  <si>
    <t>l004</t>
  </si>
  <si>
    <t>l005</t>
  </si>
  <si>
    <t>l006</t>
  </si>
  <si>
    <t>Row Labels</t>
  </si>
  <si>
    <t>Grand Total</t>
  </si>
  <si>
    <t>Normal</t>
  </si>
  <si>
    <t>Column Labels</t>
  </si>
  <si>
    <t>Loan_type</t>
  </si>
  <si>
    <t>Loan_status</t>
  </si>
  <si>
    <t>Count of Loan_id</t>
  </si>
  <si>
    <t>Total Count of Loan_id</t>
  </si>
  <si>
    <t>Total Sum of loan_amount</t>
  </si>
  <si>
    <t>Sum of loan_amount</t>
  </si>
  <si>
    <t>Sum of emi_amount</t>
  </si>
  <si>
    <t>Count of payment_id</t>
  </si>
  <si>
    <t>Clean Loan Data</t>
  </si>
  <si>
    <t>Clean Payment Data</t>
  </si>
  <si>
    <t>Payment_date</t>
  </si>
  <si>
    <t>payment_Status</t>
  </si>
  <si>
    <t>custumer_id</t>
  </si>
  <si>
    <t>customer_name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</si>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</sst>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sz val="8"/>
      <name val="Calibri"/>
      <family val="2"/>
      <scheme val="minor"/>
    </font>
    <font>
      <sz val="24"/>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rgb="FF92D050"/>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10" fontId="0" fillId="0" borderId="0" xfId="0" applyNumberFormat="1"/>
    <xf numFmtId="0" fontId="1" fillId="3" borderId="1" xfId="0" applyFont="1" applyFill="1" applyBorder="1" applyAlignment="1">
      <alignment horizontal="center" vertical="center"/>
    </xf>
    <xf numFmtId="0" fontId="0" fillId="4" borderId="1" xfId="0" applyFill="1" applyBorder="1"/>
    <xf numFmtId="2" fontId="0" fillId="4" borderId="1" xfId="0" applyNumberForma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0" fontId="1" fillId="3" borderId="2" xfId="0" applyFont="1" applyFill="1" applyBorder="1" applyAlignment="1">
      <alignment horizontal="center" vertical="center"/>
    </xf>
    <xf numFmtId="10" fontId="0" fillId="4" borderId="1" xfId="0" applyNumberFormat="1" applyFill="1" applyBorder="1"/>
    <xf numFmtId="0" fontId="3" fillId="0" borderId="0" xfId="0" applyFont="1" applyAlignment="1">
      <alignment horizontal="center" vertical="center"/>
    </xf>
    <xf numFmtId="0" fontId="4" fillId="0" borderId="0" xfId="0" applyFont="1" applyAlignment="1">
      <alignment horizontal="center" vertical="center"/>
    </xf>
    <xf numFmtId="14" fontId="0" fillId="2" borderId="1" xfId="0" applyNumberFormat="1" applyFill="1" applyBorder="1"/>
    <xf numFmtId="14" fontId="0" fillId="4" borderId="1" xfId="0" applyNumberFormat="1" applyFill="1" applyBorder="1"/>
    <xf numFmtId="0" fontId="4" fillId="5" borderId="0" xfId="0" applyFont="1" applyFill="1" applyAlignment="1">
      <alignment horizontal="center" vertical="center"/>
    </xf>
  </cellXfs>
  <cellStyles count="1">
    <cellStyle name="Normal" xfId="0" builtinId="0"/>
  </cellStyles>
  <dxfs count="21">
    <dxf>
      <numFmt numFmtId="0" formatCode="General"/>
    </dxf>
    <dxf>
      <numFmt numFmtId="164" formatCode="&quot;₹&quot;\ #,##0.00"/>
    </dxf>
    <dxf>
      <numFmt numFmtId="19" formatCode="dd/mm/yyyy"/>
    </dxf>
    <dxf>
      <numFmt numFmtId="0" formatCode="General"/>
    </dxf>
    <dxf>
      <numFmt numFmtId="0" formatCode="General"/>
    </dxf>
    <dxf>
      <numFmt numFmtId="0" formatCode="General"/>
    </dxf>
    <dxf>
      <numFmt numFmtId="19" formatCode="dd/mm/yyyy"/>
    </dxf>
    <dxf>
      <numFmt numFmtId="14" formatCode="0.00%"/>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Dashboard.xlsx]Loan_Summary_Pivot!PivotTable8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Loan_Summary_Pivot!$B$1:$B$3</c:f>
              <c:strCache>
                <c:ptCount val="1"/>
                <c:pt idx="0">
                  <c:v>Approved - Count of Loan_id</c:v>
                </c:pt>
              </c:strCache>
            </c:strRef>
          </c:tx>
          <c:spPr>
            <a:solidFill>
              <a:schemeClr val="accent1"/>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Loan_Summary_Pivot!$B$4:$B$8</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F56E-43AC-AE2A-2304E70B93EC}"/>
            </c:ext>
          </c:extLst>
        </c:ser>
        <c:ser>
          <c:idx val="1"/>
          <c:order val="1"/>
          <c:tx>
            <c:strRef>
              <c:f>Loan_Summary_Pivot!$C$1:$C$3</c:f>
              <c:strCache>
                <c:ptCount val="1"/>
                <c:pt idx="0">
                  <c:v>Approved - Sum of loan_amount</c:v>
                </c:pt>
              </c:strCache>
            </c:strRef>
          </c:tx>
          <c:spPr>
            <a:solidFill>
              <a:schemeClr val="accent2"/>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Loan_Summary_Pivot!$C$4:$C$8</c:f>
              <c:numCache>
                <c:formatCode>General</c:formatCode>
                <c:ptCount val="4"/>
                <c:pt idx="0">
                  <c:v>3000000</c:v>
                </c:pt>
                <c:pt idx="1">
                  <c:v>600000</c:v>
                </c:pt>
                <c:pt idx="2">
                  <c:v>2500000</c:v>
                </c:pt>
                <c:pt idx="3">
                  <c:v>300000</c:v>
                </c:pt>
              </c:numCache>
            </c:numRef>
          </c:val>
          <c:extLst>
            <c:ext xmlns:c16="http://schemas.microsoft.com/office/drawing/2014/chart" uri="{C3380CC4-5D6E-409C-BE32-E72D297353CC}">
              <c16:uniqueId val="{00000001-F56E-43AC-AE2A-2304E70B93EC}"/>
            </c:ext>
          </c:extLst>
        </c:ser>
        <c:ser>
          <c:idx val="2"/>
          <c:order val="2"/>
          <c:tx>
            <c:strRef>
              <c:f>Loan_Summary_Pivot!$D$1:$D$3</c:f>
              <c:strCache>
                <c:ptCount val="1"/>
                <c:pt idx="0">
                  <c:v>Pending - Count of Loan_id</c:v>
                </c:pt>
              </c:strCache>
            </c:strRef>
          </c:tx>
          <c:spPr>
            <a:solidFill>
              <a:schemeClr val="accent3"/>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Loan_Summary_Pivot!$D$4:$D$8</c:f>
              <c:numCache>
                <c:formatCode>General</c:formatCode>
                <c:ptCount val="4"/>
                <c:pt idx="3">
                  <c:v>1</c:v>
                </c:pt>
              </c:numCache>
            </c:numRef>
          </c:val>
          <c:extLst>
            <c:ext xmlns:c16="http://schemas.microsoft.com/office/drawing/2014/chart" uri="{C3380CC4-5D6E-409C-BE32-E72D297353CC}">
              <c16:uniqueId val="{00000002-F56E-43AC-AE2A-2304E70B93EC}"/>
            </c:ext>
          </c:extLst>
        </c:ser>
        <c:ser>
          <c:idx val="3"/>
          <c:order val="3"/>
          <c:tx>
            <c:strRef>
              <c:f>Loan_Summary_Pivot!$E$1:$E$3</c:f>
              <c:strCache>
                <c:ptCount val="1"/>
                <c:pt idx="0">
                  <c:v>Pending - Sum of loan_amount</c:v>
                </c:pt>
              </c:strCache>
            </c:strRef>
          </c:tx>
          <c:spPr>
            <a:solidFill>
              <a:schemeClr val="accent4"/>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Loan_Summary_Pivot!$E$4:$E$8</c:f>
              <c:numCache>
                <c:formatCode>General</c:formatCode>
                <c:ptCount val="4"/>
                <c:pt idx="3">
                  <c:v>200000</c:v>
                </c:pt>
              </c:numCache>
            </c:numRef>
          </c:val>
          <c:extLst>
            <c:ext xmlns:c16="http://schemas.microsoft.com/office/drawing/2014/chart" uri="{C3380CC4-5D6E-409C-BE32-E72D297353CC}">
              <c16:uniqueId val="{00000003-F56E-43AC-AE2A-2304E70B93EC}"/>
            </c:ext>
          </c:extLst>
        </c:ser>
        <c:ser>
          <c:idx val="4"/>
          <c:order val="4"/>
          <c:tx>
            <c:strRef>
              <c:f>Loan_Summary_Pivot!$F$1:$F$3</c:f>
              <c:strCache>
                <c:ptCount val="1"/>
                <c:pt idx="0">
                  <c:v>Rejected - Count of Loan_id</c:v>
                </c:pt>
              </c:strCache>
            </c:strRef>
          </c:tx>
          <c:spPr>
            <a:solidFill>
              <a:schemeClr val="accent5"/>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Loan_Summary_Pivot!$F$4:$F$8</c:f>
              <c:numCache>
                <c:formatCode>General</c:formatCode>
                <c:ptCount val="4"/>
                <c:pt idx="0">
                  <c:v>1</c:v>
                </c:pt>
              </c:numCache>
            </c:numRef>
          </c:val>
          <c:extLst>
            <c:ext xmlns:c16="http://schemas.microsoft.com/office/drawing/2014/chart" uri="{C3380CC4-5D6E-409C-BE32-E72D297353CC}">
              <c16:uniqueId val="{00000004-F56E-43AC-AE2A-2304E70B93EC}"/>
            </c:ext>
          </c:extLst>
        </c:ser>
        <c:ser>
          <c:idx val="5"/>
          <c:order val="5"/>
          <c:tx>
            <c:strRef>
              <c:f>Loan_Summary_Pivot!$G$1:$G$3</c:f>
              <c:strCache>
                <c:ptCount val="1"/>
                <c:pt idx="0">
                  <c:v>Rejected - Sum of loan_amount</c:v>
                </c:pt>
              </c:strCache>
            </c:strRef>
          </c:tx>
          <c:spPr>
            <a:solidFill>
              <a:schemeClr val="accent6"/>
            </a:solidFill>
            <a:ln>
              <a:noFill/>
            </a:ln>
            <a:effectLst/>
          </c:spPr>
          <c:invertIfNegative val="0"/>
          <c:cat>
            <c:strRef>
              <c:f>Loan_Summary_Pivot!$A$4:$A$8</c:f>
              <c:strCache>
                <c:ptCount val="4"/>
                <c:pt idx="0">
                  <c:v>Business Loan</c:v>
                </c:pt>
                <c:pt idx="1">
                  <c:v>Car Loan</c:v>
                </c:pt>
                <c:pt idx="2">
                  <c:v>Home Loan</c:v>
                </c:pt>
                <c:pt idx="3">
                  <c:v>Personal Loan</c:v>
                </c:pt>
              </c:strCache>
            </c:strRef>
          </c:cat>
          <c:val>
            <c:numRef>
              <c:f>Loan_Summary_Pivot!$G$4:$G$8</c:f>
              <c:numCache>
                <c:formatCode>General</c:formatCode>
                <c:ptCount val="4"/>
                <c:pt idx="0">
                  <c:v>1500000</c:v>
                </c:pt>
              </c:numCache>
            </c:numRef>
          </c:val>
          <c:extLst>
            <c:ext xmlns:c16="http://schemas.microsoft.com/office/drawing/2014/chart" uri="{C3380CC4-5D6E-409C-BE32-E72D297353CC}">
              <c16:uniqueId val="{00000005-F56E-43AC-AE2A-2304E70B93EC}"/>
            </c:ext>
          </c:extLst>
        </c:ser>
        <c:dLbls>
          <c:showLegendKey val="0"/>
          <c:showVal val="0"/>
          <c:showCatName val="0"/>
          <c:showSerName val="0"/>
          <c:showPercent val="0"/>
          <c:showBubbleSize val="0"/>
        </c:dLbls>
        <c:gapWidth val="219"/>
        <c:overlap val="-27"/>
        <c:axId val="176049583"/>
        <c:axId val="176063023"/>
      </c:barChart>
      <c:catAx>
        <c:axId val="176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3023"/>
        <c:crosses val="autoZero"/>
        <c:auto val="1"/>
        <c:lblAlgn val="ctr"/>
        <c:lblOffset val="100"/>
        <c:noMultiLvlLbl val="0"/>
      </c:catAx>
      <c:valAx>
        <c:axId val="17606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Dashboard.xlsx]Risk_Analysis_Pivot!PivotTable9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Risk_Analysis_Pivot!$B$3</c:f>
              <c:strCache>
                <c:ptCount val="1"/>
                <c:pt idx="0">
                  <c:v>Count of Loan_id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CA-427C-992C-0F35561090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CA-427C-992C-0F35561090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CA-427C-992C-0F35561090DB}"/>
              </c:ext>
            </c:extLst>
          </c:dPt>
          <c:cat>
            <c:multiLvlStrRef>
              <c:f>Risk_Analysis_Pivot!$A$4:$A$8</c:f>
              <c:multiLvlStrCache>
                <c:ptCount val="3"/>
                <c:lvl>
                  <c:pt idx="0">
                    <c:v>High</c:v>
                  </c:pt>
                  <c:pt idx="1">
                    <c:v>Low</c:v>
                  </c:pt>
                  <c:pt idx="2">
                    <c:v>Medium</c:v>
                  </c:pt>
                </c:lvl>
                <c:lvl>
                  <c:pt idx="0">
                    <c:v>Normal</c:v>
                  </c:pt>
                </c:lvl>
              </c:multiLvlStrCache>
            </c:multiLvlStrRef>
          </c:cat>
          <c:val>
            <c:numRef>
              <c:f>Risk_Analysis_Pivot!$B$4:$B$8</c:f>
              <c:numCache>
                <c:formatCode>General</c:formatCode>
                <c:ptCount val="3"/>
                <c:pt idx="0">
                  <c:v>1</c:v>
                </c:pt>
                <c:pt idx="1">
                  <c:v>2</c:v>
                </c:pt>
                <c:pt idx="2">
                  <c:v>3</c:v>
                </c:pt>
              </c:numCache>
            </c:numRef>
          </c:val>
          <c:extLst>
            <c:ext xmlns:c16="http://schemas.microsoft.com/office/drawing/2014/chart" uri="{C3380CC4-5D6E-409C-BE32-E72D297353CC}">
              <c16:uniqueId val="{00000000-B090-4D0E-9C51-C4B2E831DCDC}"/>
            </c:ext>
          </c:extLst>
        </c:ser>
        <c:ser>
          <c:idx val="1"/>
          <c:order val="1"/>
          <c:tx>
            <c:strRef>
              <c:f>Risk_Analysis_Pivot!$C$3</c:f>
              <c:strCache>
                <c:ptCount val="1"/>
                <c:pt idx="0">
                  <c:v>Sum of loan_amount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7CA-427C-992C-0F35561090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7CA-427C-992C-0F35561090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7CA-427C-992C-0F35561090DB}"/>
              </c:ext>
            </c:extLst>
          </c:dPt>
          <c:cat>
            <c:multiLvlStrRef>
              <c:f>Risk_Analysis_Pivot!$A$4:$A$8</c:f>
              <c:multiLvlStrCache>
                <c:ptCount val="3"/>
                <c:lvl>
                  <c:pt idx="0">
                    <c:v>High</c:v>
                  </c:pt>
                  <c:pt idx="1">
                    <c:v>Low</c:v>
                  </c:pt>
                  <c:pt idx="2">
                    <c:v>Medium</c:v>
                  </c:pt>
                </c:lvl>
                <c:lvl>
                  <c:pt idx="0">
                    <c:v>Normal</c:v>
                  </c:pt>
                </c:lvl>
              </c:multiLvlStrCache>
            </c:multiLvlStrRef>
          </c:cat>
          <c:val>
            <c:numRef>
              <c:f>Risk_Analysis_Pivot!$C$4:$C$8</c:f>
              <c:numCache>
                <c:formatCode>General</c:formatCode>
                <c:ptCount val="3"/>
                <c:pt idx="0">
                  <c:v>1500000</c:v>
                </c:pt>
                <c:pt idx="1">
                  <c:v>3100000</c:v>
                </c:pt>
                <c:pt idx="2">
                  <c:v>3500000</c:v>
                </c:pt>
              </c:numCache>
            </c:numRef>
          </c:val>
          <c:extLst>
            <c:ext xmlns:c16="http://schemas.microsoft.com/office/drawing/2014/chart" uri="{C3380CC4-5D6E-409C-BE32-E72D297353CC}">
              <c16:uniqueId val="{00000001-B090-4D0E-9C51-C4B2E831DC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Dashboard.xlsx]EMI_Analysis_Pivot!PivotTable10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EMI_Analysis_Pivot!$B$1</c:f>
              <c:strCache>
                <c:ptCount val="1"/>
                <c:pt idx="0">
                  <c:v>Count of payment_id</c:v>
                </c:pt>
              </c:strCache>
            </c:strRef>
          </c:tx>
          <c:spPr>
            <a:solidFill>
              <a:schemeClr val="accent1"/>
            </a:solidFill>
            <a:ln>
              <a:noFill/>
            </a:ln>
            <a:effectLst/>
          </c:spPr>
          <c:invertIfNegative val="0"/>
          <c:cat>
            <c:strRef>
              <c:f>EMI_Analysis_Pivot!$A$2:$A$4</c:f>
              <c:strCache>
                <c:ptCount val="2"/>
                <c:pt idx="0">
                  <c:v>Missed</c:v>
                </c:pt>
                <c:pt idx="1">
                  <c:v>Paid</c:v>
                </c:pt>
              </c:strCache>
            </c:strRef>
          </c:cat>
          <c:val>
            <c:numRef>
              <c:f>EMI_Analysis_Pivot!$B$2:$B$4</c:f>
              <c:numCache>
                <c:formatCode>General</c:formatCode>
                <c:ptCount val="2"/>
                <c:pt idx="0">
                  <c:v>1</c:v>
                </c:pt>
                <c:pt idx="1">
                  <c:v>5</c:v>
                </c:pt>
              </c:numCache>
            </c:numRef>
          </c:val>
          <c:extLst>
            <c:ext xmlns:c16="http://schemas.microsoft.com/office/drawing/2014/chart" uri="{C3380CC4-5D6E-409C-BE32-E72D297353CC}">
              <c16:uniqueId val="{00000000-3289-4C79-B221-8615372B93CD}"/>
            </c:ext>
          </c:extLst>
        </c:ser>
        <c:ser>
          <c:idx val="1"/>
          <c:order val="1"/>
          <c:tx>
            <c:strRef>
              <c:f>EMI_Analysis_Pivot!$C$1</c:f>
              <c:strCache>
                <c:ptCount val="1"/>
                <c:pt idx="0">
                  <c:v>Sum of emi_amount</c:v>
                </c:pt>
              </c:strCache>
            </c:strRef>
          </c:tx>
          <c:spPr>
            <a:solidFill>
              <a:schemeClr val="accent2"/>
            </a:solidFill>
            <a:ln>
              <a:noFill/>
            </a:ln>
            <a:effectLst/>
          </c:spPr>
          <c:invertIfNegative val="0"/>
          <c:cat>
            <c:strRef>
              <c:f>EMI_Analysis_Pivot!$A$2:$A$4</c:f>
              <c:strCache>
                <c:ptCount val="2"/>
                <c:pt idx="0">
                  <c:v>Missed</c:v>
                </c:pt>
                <c:pt idx="1">
                  <c:v>Paid</c:v>
                </c:pt>
              </c:strCache>
            </c:strRef>
          </c:cat>
          <c:val>
            <c:numRef>
              <c:f>EMI_Analysis_Pivot!$C$2:$C$4</c:f>
              <c:numCache>
                <c:formatCode>General</c:formatCode>
                <c:ptCount val="2"/>
                <c:pt idx="0">
                  <c:v>6900</c:v>
                </c:pt>
                <c:pt idx="1">
                  <c:v>91700</c:v>
                </c:pt>
              </c:numCache>
            </c:numRef>
          </c:val>
          <c:extLst>
            <c:ext xmlns:c16="http://schemas.microsoft.com/office/drawing/2014/chart" uri="{C3380CC4-5D6E-409C-BE32-E72D297353CC}">
              <c16:uniqueId val="{00000001-3289-4C79-B221-8615372B93CD}"/>
            </c:ext>
          </c:extLst>
        </c:ser>
        <c:dLbls>
          <c:showLegendKey val="0"/>
          <c:showVal val="0"/>
          <c:showCatName val="0"/>
          <c:showSerName val="0"/>
          <c:showPercent val="0"/>
          <c:showBubbleSize val="0"/>
        </c:dLbls>
        <c:gapWidth val="219"/>
        <c:overlap val="-27"/>
        <c:axId val="176055823"/>
        <c:axId val="176068303"/>
      </c:barChart>
      <c:catAx>
        <c:axId val="17605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8303"/>
        <c:crosses val="autoZero"/>
        <c:auto val="1"/>
        <c:lblAlgn val="ctr"/>
        <c:lblOffset val="100"/>
        <c:noMultiLvlLbl val="0"/>
      </c:catAx>
      <c:valAx>
        <c:axId val="17606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5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Dashboard.xlsx]Loan_Summary_Pivot!PivotTable8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Loan_Summary_Chart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Loan_Summary_Pivot!$B$1:$B$3</c:f>
              <c:strCache>
                <c:ptCount val="1"/>
                <c:pt idx="0">
                  <c:v>Approved - Count of Loan_id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Loan_Summary_Pivot!$B$4:$B$8</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1276-4F0D-9FFC-1F7D8A2132AE}"/>
            </c:ext>
          </c:extLst>
        </c:ser>
        <c:ser>
          <c:idx val="1"/>
          <c:order val="1"/>
          <c:tx>
            <c:strRef>
              <c:f>Loan_Summary_Pivot!$C$1:$C$3</c:f>
              <c:strCache>
                <c:ptCount val="1"/>
                <c:pt idx="0">
                  <c:v>Approved - Sum of loan_amount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Loan_Summary_Pivot!$C$4:$C$8</c:f>
              <c:numCache>
                <c:formatCode>General</c:formatCode>
                <c:ptCount val="4"/>
                <c:pt idx="0">
                  <c:v>3000000</c:v>
                </c:pt>
                <c:pt idx="1">
                  <c:v>600000</c:v>
                </c:pt>
                <c:pt idx="2">
                  <c:v>2500000</c:v>
                </c:pt>
                <c:pt idx="3">
                  <c:v>300000</c:v>
                </c:pt>
              </c:numCache>
            </c:numRef>
          </c:val>
          <c:extLst>
            <c:ext xmlns:c16="http://schemas.microsoft.com/office/drawing/2014/chart" uri="{C3380CC4-5D6E-409C-BE32-E72D297353CC}">
              <c16:uniqueId val="{00000001-1276-4F0D-9FFC-1F7D8A2132AE}"/>
            </c:ext>
          </c:extLst>
        </c:ser>
        <c:ser>
          <c:idx val="2"/>
          <c:order val="2"/>
          <c:tx>
            <c:strRef>
              <c:f>Loan_Summary_Pivot!$D$1:$D$3</c:f>
              <c:strCache>
                <c:ptCount val="1"/>
                <c:pt idx="0">
                  <c:v>Pending - Count of Loan_id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Loan_Summary_Pivot!$D$4:$D$8</c:f>
              <c:numCache>
                <c:formatCode>General</c:formatCode>
                <c:ptCount val="4"/>
                <c:pt idx="3">
                  <c:v>1</c:v>
                </c:pt>
              </c:numCache>
            </c:numRef>
          </c:val>
          <c:extLst>
            <c:ext xmlns:c16="http://schemas.microsoft.com/office/drawing/2014/chart" uri="{C3380CC4-5D6E-409C-BE32-E72D297353CC}">
              <c16:uniqueId val="{00000002-1276-4F0D-9FFC-1F7D8A2132AE}"/>
            </c:ext>
          </c:extLst>
        </c:ser>
        <c:ser>
          <c:idx val="3"/>
          <c:order val="3"/>
          <c:tx>
            <c:strRef>
              <c:f>Loan_Summary_Pivot!$E$1:$E$3</c:f>
              <c:strCache>
                <c:ptCount val="1"/>
                <c:pt idx="0">
                  <c:v>Pending - Sum of loan_amount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Loan_Summary_Pivot!$E$4:$E$8</c:f>
              <c:numCache>
                <c:formatCode>General</c:formatCode>
                <c:ptCount val="4"/>
                <c:pt idx="3">
                  <c:v>200000</c:v>
                </c:pt>
              </c:numCache>
            </c:numRef>
          </c:val>
          <c:extLst>
            <c:ext xmlns:c16="http://schemas.microsoft.com/office/drawing/2014/chart" uri="{C3380CC4-5D6E-409C-BE32-E72D297353CC}">
              <c16:uniqueId val="{00000003-1276-4F0D-9FFC-1F7D8A2132AE}"/>
            </c:ext>
          </c:extLst>
        </c:ser>
        <c:ser>
          <c:idx val="4"/>
          <c:order val="4"/>
          <c:tx>
            <c:strRef>
              <c:f>Loan_Summary_Pivot!$F$1:$F$3</c:f>
              <c:strCache>
                <c:ptCount val="1"/>
                <c:pt idx="0">
                  <c:v>Rejected - Count of Loan_id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Loan_Summary_Pivot!$F$4:$F$8</c:f>
              <c:numCache>
                <c:formatCode>General</c:formatCode>
                <c:ptCount val="4"/>
                <c:pt idx="0">
                  <c:v>1</c:v>
                </c:pt>
              </c:numCache>
            </c:numRef>
          </c:val>
          <c:extLst>
            <c:ext xmlns:c16="http://schemas.microsoft.com/office/drawing/2014/chart" uri="{C3380CC4-5D6E-409C-BE32-E72D297353CC}">
              <c16:uniqueId val="{00000004-1276-4F0D-9FFC-1F7D8A2132AE}"/>
            </c:ext>
          </c:extLst>
        </c:ser>
        <c:ser>
          <c:idx val="5"/>
          <c:order val="5"/>
          <c:tx>
            <c:strRef>
              <c:f>Loan_Summary_Pivot!$G$1:$G$3</c:f>
              <c:strCache>
                <c:ptCount val="1"/>
                <c:pt idx="0">
                  <c:v>Rejected - Sum of loan_amount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Loan_Summary_Pivot!$A$4:$A$8</c:f>
              <c:strCache>
                <c:ptCount val="4"/>
                <c:pt idx="0">
                  <c:v>Business Loan</c:v>
                </c:pt>
                <c:pt idx="1">
                  <c:v>Car Loan</c:v>
                </c:pt>
                <c:pt idx="2">
                  <c:v>Home Loan</c:v>
                </c:pt>
                <c:pt idx="3">
                  <c:v>Personal Loan</c:v>
                </c:pt>
              </c:strCache>
            </c:strRef>
          </c:cat>
          <c:val>
            <c:numRef>
              <c:f>Loan_Summary_Pivot!$G$4:$G$8</c:f>
              <c:numCache>
                <c:formatCode>General</c:formatCode>
                <c:ptCount val="4"/>
                <c:pt idx="0">
                  <c:v>1500000</c:v>
                </c:pt>
              </c:numCache>
            </c:numRef>
          </c:val>
          <c:extLst>
            <c:ext xmlns:c16="http://schemas.microsoft.com/office/drawing/2014/chart" uri="{C3380CC4-5D6E-409C-BE32-E72D297353CC}">
              <c16:uniqueId val="{00000005-1276-4F0D-9FFC-1F7D8A2132AE}"/>
            </c:ext>
          </c:extLst>
        </c:ser>
        <c:dLbls>
          <c:showLegendKey val="0"/>
          <c:showVal val="0"/>
          <c:showCatName val="0"/>
          <c:showSerName val="0"/>
          <c:showPercent val="0"/>
          <c:showBubbleSize val="0"/>
        </c:dLbls>
        <c:gapWidth val="100"/>
        <c:overlap val="-24"/>
        <c:axId val="176049583"/>
        <c:axId val="176063023"/>
      </c:barChart>
      <c:catAx>
        <c:axId val="17604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63023"/>
        <c:crosses val="autoZero"/>
        <c:auto val="1"/>
        <c:lblAlgn val="ctr"/>
        <c:lblOffset val="100"/>
        <c:noMultiLvlLbl val="0"/>
      </c:catAx>
      <c:valAx>
        <c:axId val="176063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Dashboard.xlsx]Risk_Analysis_Pivot!PivotTable9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Risk_Analysis_Chart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Risk_Analysis_Pivot!$B$3</c:f>
              <c:strCache>
                <c:ptCount val="1"/>
                <c:pt idx="0">
                  <c:v>Count of Loan_id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6DA-4069-99DB-DF787B44B8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DA-4069-99DB-DF787B44B8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DA-4069-99DB-DF787B44B811}"/>
              </c:ext>
            </c:extLst>
          </c:dPt>
          <c:cat>
            <c:multiLvlStrRef>
              <c:f>Risk_Analysis_Pivot!$A$4:$A$8</c:f>
              <c:multiLvlStrCache>
                <c:ptCount val="3"/>
                <c:lvl>
                  <c:pt idx="0">
                    <c:v>High</c:v>
                  </c:pt>
                  <c:pt idx="1">
                    <c:v>Low</c:v>
                  </c:pt>
                  <c:pt idx="2">
                    <c:v>Medium</c:v>
                  </c:pt>
                </c:lvl>
                <c:lvl>
                  <c:pt idx="0">
                    <c:v>Normal</c:v>
                  </c:pt>
                </c:lvl>
              </c:multiLvlStrCache>
            </c:multiLvlStrRef>
          </c:cat>
          <c:val>
            <c:numRef>
              <c:f>Risk_Analysis_Pivot!$B$4:$B$8</c:f>
              <c:numCache>
                <c:formatCode>General</c:formatCode>
                <c:ptCount val="3"/>
                <c:pt idx="0">
                  <c:v>1</c:v>
                </c:pt>
                <c:pt idx="1">
                  <c:v>2</c:v>
                </c:pt>
                <c:pt idx="2">
                  <c:v>3</c:v>
                </c:pt>
              </c:numCache>
            </c:numRef>
          </c:val>
          <c:extLst>
            <c:ext xmlns:c16="http://schemas.microsoft.com/office/drawing/2014/chart" uri="{C3380CC4-5D6E-409C-BE32-E72D297353CC}">
              <c16:uniqueId val="{00000006-E6DA-4069-99DB-DF787B44B811}"/>
            </c:ext>
          </c:extLst>
        </c:ser>
        <c:ser>
          <c:idx val="1"/>
          <c:order val="1"/>
          <c:tx>
            <c:strRef>
              <c:f>Risk_Analysis_Pivot!$C$3</c:f>
              <c:strCache>
                <c:ptCount val="1"/>
                <c:pt idx="0">
                  <c:v>Sum of loan_amount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6DA-4069-99DB-DF787B44B8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6DA-4069-99DB-DF787B44B8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6DA-4069-99DB-DF787B44B811}"/>
              </c:ext>
            </c:extLst>
          </c:dPt>
          <c:cat>
            <c:multiLvlStrRef>
              <c:f>Risk_Analysis_Pivot!$A$4:$A$8</c:f>
              <c:multiLvlStrCache>
                <c:ptCount val="3"/>
                <c:lvl>
                  <c:pt idx="0">
                    <c:v>High</c:v>
                  </c:pt>
                  <c:pt idx="1">
                    <c:v>Low</c:v>
                  </c:pt>
                  <c:pt idx="2">
                    <c:v>Medium</c:v>
                  </c:pt>
                </c:lvl>
                <c:lvl>
                  <c:pt idx="0">
                    <c:v>Normal</c:v>
                  </c:pt>
                </c:lvl>
              </c:multiLvlStrCache>
            </c:multiLvlStrRef>
          </c:cat>
          <c:val>
            <c:numRef>
              <c:f>Risk_Analysis_Pivot!$C$4:$C$8</c:f>
              <c:numCache>
                <c:formatCode>General</c:formatCode>
                <c:ptCount val="3"/>
                <c:pt idx="0">
                  <c:v>1500000</c:v>
                </c:pt>
                <c:pt idx="1">
                  <c:v>3100000</c:v>
                </c:pt>
                <c:pt idx="2">
                  <c:v>3500000</c:v>
                </c:pt>
              </c:numCache>
            </c:numRef>
          </c:val>
          <c:extLst>
            <c:ext xmlns:c16="http://schemas.microsoft.com/office/drawing/2014/chart" uri="{C3380CC4-5D6E-409C-BE32-E72D297353CC}">
              <c16:uniqueId val="{0000000D-E6DA-4069-99DB-DF787B44B8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and Dashboard.xlsx]EMI_Analysis_Pivot!PivotTable10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EMI_Analysis_Chart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4759405074369"/>
          <c:y val="0.15638670166229221"/>
          <c:w val="0.57227493438320209"/>
          <c:h val="0.65853091280256637"/>
        </c:manualLayout>
      </c:layout>
      <c:barChart>
        <c:barDir val="col"/>
        <c:grouping val="clustered"/>
        <c:varyColors val="0"/>
        <c:ser>
          <c:idx val="0"/>
          <c:order val="0"/>
          <c:tx>
            <c:strRef>
              <c:f>EMI_Analysis_Pivot!$B$1</c:f>
              <c:strCache>
                <c:ptCount val="1"/>
                <c:pt idx="0">
                  <c:v>Count of payment_id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EMI_Analysis_Pivot!$A$2:$A$4</c:f>
              <c:strCache>
                <c:ptCount val="2"/>
                <c:pt idx="0">
                  <c:v>Missed</c:v>
                </c:pt>
                <c:pt idx="1">
                  <c:v>Paid</c:v>
                </c:pt>
              </c:strCache>
            </c:strRef>
          </c:cat>
          <c:val>
            <c:numRef>
              <c:f>EMI_Analysis_Pivot!$B$2:$B$4</c:f>
              <c:numCache>
                <c:formatCode>General</c:formatCode>
                <c:ptCount val="2"/>
                <c:pt idx="0">
                  <c:v>1</c:v>
                </c:pt>
                <c:pt idx="1">
                  <c:v>5</c:v>
                </c:pt>
              </c:numCache>
            </c:numRef>
          </c:val>
          <c:extLst>
            <c:ext xmlns:c16="http://schemas.microsoft.com/office/drawing/2014/chart" uri="{C3380CC4-5D6E-409C-BE32-E72D297353CC}">
              <c16:uniqueId val="{00000000-F87B-4A73-9DDF-8B04B0F9F6CD}"/>
            </c:ext>
          </c:extLst>
        </c:ser>
        <c:ser>
          <c:idx val="1"/>
          <c:order val="1"/>
          <c:tx>
            <c:strRef>
              <c:f>EMI_Analysis_Pivot!$C$1</c:f>
              <c:strCache>
                <c:ptCount val="1"/>
                <c:pt idx="0">
                  <c:v>Sum of emi_amount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EMI_Analysis_Pivot!$A$2:$A$4</c:f>
              <c:strCache>
                <c:ptCount val="2"/>
                <c:pt idx="0">
                  <c:v>Missed</c:v>
                </c:pt>
                <c:pt idx="1">
                  <c:v>Paid</c:v>
                </c:pt>
              </c:strCache>
            </c:strRef>
          </c:cat>
          <c:val>
            <c:numRef>
              <c:f>EMI_Analysis_Pivot!$C$2:$C$4</c:f>
              <c:numCache>
                <c:formatCode>General</c:formatCode>
                <c:ptCount val="2"/>
                <c:pt idx="0">
                  <c:v>6900</c:v>
                </c:pt>
                <c:pt idx="1">
                  <c:v>91700</c:v>
                </c:pt>
              </c:numCache>
            </c:numRef>
          </c:val>
          <c:extLst>
            <c:ext xmlns:c16="http://schemas.microsoft.com/office/drawing/2014/chart" uri="{C3380CC4-5D6E-409C-BE32-E72D297353CC}">
              <c16:uniqueId val="{00000001-F87B-4A73-9DDF-8B04B0F9F6CD}"/>
            </c:ext>
          </c:extLst>
        </c:ser>
        <c:dLbls>
          <c:showLegendKey val="0"/>
          <c:showVal val="0"/>
          <c:showCatName val="0"/>
          <c:showSerName val="0"/>
          <c:showPercent val="0"/>
          <c:showBubbleSize val="0"/>
        </c:dLbls>
        <c:gapWidth val="100"/>
        <c:overlap val="-24"/>
        <c:axId val="176055823"/>
        <c:axId val="176068303"/>
      </c:barChart>
      <c:catAx>
        <c:axId val="17605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68303"/>
        <c:crosses val="autoZero"/>
        <c:auto val="1"/>
        <c:lblAlgn val="ctr"/>
        <c:lblOffset val="100"/>
        <c:noMultiLvlLbl val="0"/>
      </c:catAx>
      <c:valAx>
        <c:axId val="176068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5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952500</xdr:colOff>
      <xdr:row>9</xdr:row>
      <xdr:rowOff>118110</xdr:rowOff>
    </xdr:from>
    <xdr:to>
      <xdr:col>6</xdr:col>
      <xdr:colOff>784860</xdr:colOff>
      <xdr:row>24</xdr:row>
      <xdr:rowOff>118110</xdr:rowOff>
    </xdr:to>
    <xdr:graphicFrame macro="">
      <xdr:nvGraphicFramePr>
        <xdr:cNvPr id="3" name="Chart 2">
          <a:extLst>
            <a:ext uri="{FF2B5EF4-FFF2-40B4-BE49-F238E27FC236}">
              <a16:creationId xmlns:a16="http://schemas.microsoft.com/office/drawing/2014/main" id="{E8AB2BD4-1294-DD00-5C84-ACF6DC670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624840</xdr:colOff>
      <xdr:row>5</xdr:row>
      <xdr:rowOff>129540</xdr:rowOff>
    </xdr:from>
    <xdr:to>
      <xdr:col>10</xdr:col>
      <xdr:colOff>190500</xdr:colOff>
      <xdr:row>20</xdr:row>
      <xdr:rowOff>129540</xdr:rowOff>
    </xdr:to>
    <xdr:graphicFrame macro="">
      <xdr:nvGraphicFramePr>
        <xdr:cNvPr id="3" name="Chart 2">
          <a:extLst>
            <a:ext uri="{FF2B5EF4-FFF2-40B4-BE49-F238E27FC236}">
              <a16:creationId xmlns:a16="http://schemas.microsoft.com/office/drawing/2014/main" id="{F2D57848-5D67-446D-FA89-98B753495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1188720</xdr:colOff>
      <xdr:row>5</xdr:row>
      <xdr:rowOff>121920</xdr:rowOff>
    </xdr:from>
    <xdr:to>
      <xdr:col>10</xdr:col>
      <xdr:colOff>228600</xdr:colOff>
      <xdr:row>20</xdr:row>
      <xdr:rowOff>121920</xdr:rowOff>
    </xdr:to>
    <xdr:graphicFrame macro="">
      <xdr:nvGraphicFramePr>
        <xdr:cNvPr id="2" name="Chart 1">
          <a:extLst>
            <a:ext uri="{FF2B5EF4-FFF2-40B4-BE49-F238E27FC236}">
              <a16:creationId xmlns:a16="http://schemas.microsoft.com/office/drawing/2014/main" id="{222559FD-D2AE-1AFF-57EB-2F1C431EE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9</xdr:row>
      <xdr:rowOff>7620</xdr:rowOff>
    </xdr:from>
    <xdr:to>
      <xdr:col>6</xdr:col>
      <xdr:colOff>601980</xdr:colOff>
      <xdr:row>24</xdr:row>
      <xdr:rowOff>7620</xdr:rowOff>
    </xdr:to>
    <xdr:graphicFrame macro="">
      <xdr:nvGraphicFramePr>
        <xdr:cNvPr id="2" name="Chart 1">
          <a:extLst>
            <a:ext uri="{FF2B5EF4-FFF2-40B4-BE49-F238E27FC236}">
              <a16:creationId xmlns:a16="http://schemas.microsoft.com/office/drawing/2014/main" id="{BE09E14E-D0C8-4BA7-B857-0F5DCAE94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167640</xdr:rowOff>
    </xdr:from>
    <xdr:to>
      <xdr:col>13</xdr:col>
      <xdr:colOff>556260</xdr:colOff>
      <xdr:row>23</xdr:row>
      <xdr:rowOff>167640</xdr:rowOff>
    </xdr:to>
    <xdr:graphicFrame macro="">
      <xdr:nvGraphicFramePr>
        <xdr:cNvPr id="3" name="Chart 2">
          <a:extLst>
            <a:ext uri="{FF2B5EF4-FFF2-40B4-BE49-F238E27FC236}">
              <a16:creationId xmlns:a16="http://schemas.microsoft.com/office/drawing/2014/main" id="{CB23D3BF-37EE-4DFE-9011-7D1F13B4A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525780</xdr:colOff>
      <xdr:row>8</xdr:row>
      <xdr:rowOff>83820</xdr:rowOff>
    </xdr:from>
    <xdr:to>
      <xdr:col>21</xdr:col>
      <xdr:colOff>586740</xdr:colOff>
      <xdr:row>23</xdr:row>
      <xdr:rowOff>83820</xdr:rowOff>
    </xdr:to>
    <xdr:graphicFrame macro="">
      <xdr:nvGraphicFramePr>
        <xdr:cNvPr id="4" name="Chart 3">
          <a:extLst>
            <a:ext uri="{FF2B5EF4-FFF2-40B4-BE49-F238E27FC236}">
              <a16:creationId xmlns:a16="http://schemas.microsoft.com/office/drawing/2014/main" id="{DED39C31-5ABF-4A13-ADAB-5AEF4369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434340</xdr:colOff>
      <xdr:row>0</xdr:row>
      <xdr:rowOff>121919</xdr:rowOff>
    </xdr:from>
    <xdr:to>
      <xdr:col>19</xdr:col>
      <xdr:colOff>281940</xdr:colOff>
      <xdr:row>6</xdr:row>
      <xdr:rowOff>140639</xdr:rowOff>
    </xdr:to>
    <mc:AlternateContent xmlns:mc="http://schemas.openxmlformats.org/markup-compatibility/2006" xmlns:a14="http://schemas.microsoft.com/office/drawing/2010/main">
      <mc:Choice Requires="a14">
        <xdr:graphicFrame macro="">
          <xdr:nvGraphicFramePr>
            <xdr:cNvPr id="6" name="Loan_type">
              <a:extLst>
                <a:ext uri="{FF2B5EF4-FFF2-40B4-BE49-F238E27FC236}">
                  <a16:creationId xmlns:a16="http://schemas.microsoft.com/office/drawing/2014/main" id="{0F55C536-A2BD-4A71-95E6-EAD6A95004BD}"/>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7749540" y="121919"/>
              <a:ext cx="41148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449580</xdr:colOff>
      <xdr:row>0</xdr:row>
      <xdr:rowOff>121919</xdr:rowOff>
    </xdr:from>
    <xdr:to>
      <xdr:col>9</xdr:col>
      <xdr:colOff>449580</xdr:colOff>
      <xdr:row>7</xdr:row>
      <xdr:rowOff>65759</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AC09E356-C16E-4D79-91EB-1BADAF2D3A4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68780" y="121919"/>
              <a:ext cx="426720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il" refreshedDate="46042.720471180553" createdVersion="8" refreshedVersion="8" minRefreshableVersion="3" recordCount="6" xr:uid="{5B9634F0-34ED-4C5C-A930-CFEF8EE8D5E5}">
  <cacheSource type="worksheet">
    <worksheetSource ref="A2:N8" sheet="Cleaned Data"/>
  </cacheSource>
  <cacheFields count="14">
    <cacheField name="Loan_id" numFmtId="0">
      <sharedItems count="6">
        <s v="l001"/>
        <s v="l002"/>
        <s v="l003"/>
        <s v="l004"/>
        <s v="l005"/>
        <s v="l006"/>
      </sharedItems>
    </cacheField>
    <cacheField name="Customer_id" numFmtId="0">
      <sharedItems/>
    </cacheField>
    <cacheField name="Customer_name" numFmtId="0">
      <sharedItems/>
    </cacheField>
    <cacheField name="age" numFmtId="0">
      <sharedItems containsSemiMixedTypes="0" containsString="0" containsNumber="1" containsInteger="1" minValue="26" maxValue="50"/>
    </cacheField>
    <cacheField name="city" numFmtId="0">
      <sharedItems count="6">
        <s v="Mumbai"/>
        <s v="Pune"/>
        <s v="Nagpur"/>
        <s v="Delhi"/>
        <s v="Bangalore"/>
        <s v="Nashik"/>
      </sharedItems>
    </cacheField>
    <cacheField name="annual_income" numFmtId="0">
      <sharedItems containsSemiMixedTypes="0" containsString="0" containsNumber="1" containsInteger="1" minValue="480000" maxValue="1500000"/>
    </cacheField>
    <cacheField name="Loan_type" numFmtId="0">
      <sharedItems count="4">
        <s v="Home Loan"/>
        <s v="Personal Loan"/>
        <s v="Business Loan"/>
        <s v="Car Loan"/>
      </sharedItems>
    </cacheField>
    <cacheField name="Loan_status" numFmtId="0">
      <sharedItems count="3">
        <s v="Approved"/>
        <s v="Rejected"/>
        <s v="Pending"/>
      </sharedItems>
    </cacheField>
    <cacheField name="loan_amount" numFmtId="0">
      <sharedItems containsSemiMixedTypes="0" containsString="0" containsNumber="1" containsInteger="1" minValue="200000" maxValue="3000000"/>
    </cacheField>
    <cacheField name="credit_score" numFmtId="0">
      <sharedItems containsSemiMixedTypes="0" containsString="0" containsNumber="1" containsInteger="1" minValue="640" maxValue="780"/>
    </cacheField>
    <cacheField name="laon_to_income" numFmtId="2">
      <sharedItems containsSemiMixedTypes="0" containsString="0" containsNumber="1" minValue="0.41666666666666669" maxValue="2.9411764705882355"/>
    </cacheField>
    <cacheField name="risk_flag" numFmtId="0">
      <sharedItems count="1">
        <s v="Normal"/>
      </sharedItems>
    </cacheField>
    <cacheField name="risk_category" numFmtId="0">
      <sharedItems count="3">
        <s v="Low"/>
        <s v="Medium"/>
        <s v="High"/>
      </sharedItems>
    </cacheField>
    <cacheField name="interest_rate" numFmtId="10">
      <sharedItems containsSemiMixedTypes="0" containsString="0" containsNumber="1" minValue="8.5000000000000006E-2" maxValue="0.14000000000000001"/>
    </cacheField>
  </cacheFields>
  <extLst>
    <ext xmlns:x14="http://schemas.microsoft.com/office/spreadsheetml/2009/9/main" uri="{725AE2AE-9491-48be-B2B4-4EB974FC3084}">
      <x14:pivotCacheDefinition pivotCacheId="9394802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il" refreshedDate="46042.72475775463" createdVersion="8" refreshedVersion="8" minRefreshableVersion="3" recordCount="6" xr:uid="{F80B821D-FA00-4025-B0B8-11CF67704A4F}">
  <cacheSource type="worksheet">
    <worksheetSource ref="A12:H18" sheet="Cleaned Data"/>
  </cacheSource>
  <cacheFields count="8">
    <cacheField name="payment_id" numFmtId="0">
      <sharedItems count="6">
        <s v="P001"/>
        <s v="P002"/>
        <s v="P003"/>
        <s v="P004"/>
        <s v="P005"/>
        <s v="P006"/>
      </sharedItems>
    </cacheField>
    <cacheField name="Loan_id" numFmtId="0">
      <sharedItems/>
    </cacheField>
    <cacheField name="Payment_date" numFmtId="14">
      <sharedItems containsSemiMixedTypes="0" containsNonDate="0" containsDate="1" containsString="0" minDate="2024-01-05T00:00:00" maxDate="2024-02-11T00:00:00"/>
    </cacheField>
    <cacheField name="emi_amount" numFmtId="0">
      <sharedItems containsSemiMixedTypes="0" containsString="0" containsNumber="1" containsInteger="1" minValue="6900" maxValue="32000"/>
    </cacheField>
    <cacheField name="payment_Status" numFmtId="0">
      <sharedItems count="2">
        <s v="Paid"/>
        <s v="Missed"/>
      </sharedItems>
    </cacheField>
    <cacheField name="Loan_type" numFmtId="0">
      <sharedItems/>
    </cacheField>
    <cacheField name="custumer_id" numFmtId="0">
      <sharedItems/>
    </cacheField>
    <cacheField name="customer_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c001"/>
    <s v="Rahul Sharma"/>
    <n v="32"/>
    <x v="0"/>
    <n v="850000"/>
    <x v="0"/>
    <x v="0"/>
    <n v="2500000"/>
    <n v="780"/>
    <n v="2.9411764705882355"/>
    <x v="0"/>
    <x v="0"/>
    <n v="8.5000000000000006E-2"/>
  </r>
  <r>
    <x v="1"/>
    <s v="c002"/>
    <s v="Anita Verma"/>
    <n v="28"/>
    <x v="1"/>
    <n v="620000"/>
    <x v="1"/>
    <x v="0"/>
    <n v="300000"/>
    <n v="710"/>
    <n v="0.4838709677419355"/>
    <x v="0"/>
    <x v="1"/>
    <n v="0.13"/>
  </r>
  <r>
    <x v="2"/>
    <s v="c003"/>
    <s v="Suresh Patil"/>
    <n v="45"/>
    <x v="2"/>
    <n v="1200000"/>
    <x v="2"/>
    <x v="1"/>
    <n v="1500000"/>
    <n v="640"/>
    <n v="1.25"/>
    <x v="0"/>
    <x v="2"/>
    <n v="0.115"/>
  </r>
  <r>
    <x v="3"/>
    <s v="c004"/>
    <s v="Pooja Singh"/>
    <n v="36"/>
    <x v="3"/>
    <n v="780000"/>
    <x v="3"/>
    <x v="0"/>
    <n v="600000"/>
    <n v="750"/>
    <n v="0.76923076923076927"/>
    <x v="0"/>
    <x v="0"/>
    <n v="9.5000000000000001E-2"/>
  </r>
  <r>
    <x v="4"/>
    <s v="c005"/>
    <s v="Amit Kulkarni"/>
    <n v="50"/>
    <x v="4"/>
    <n v="1500000"/>
    <x v="2"/>
    <x v="0"/>
    <n v="3000000"/>
    <n v="720"/>
    <n v="2"/>
    <x v="0"/>
    <x v="1"/>
    <n v="0.12"/>
  </r>
  <r>
    <x v="5"/>
    <s v="c006"/>
    <s v="Neha Joshi"/>
    <n v="26"/>
    <x v="5"/>
    <n v="480000"/>
    <x v="1"/>
    <x v="2"/>
    <n v="200000"/>
    <n v="680"/>
    <n v="0.41666666666666669"/>
    <x v="0"/>
    <x v="1"/>
    <n v="0.1400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l001"/>
    <d v="2024-01-05T00:00:00"/>
    <n v="21500"/>
    <x v="0"/>
    <s v="Home Loan"/>
    <s v="C001"/>
    <s v="Rahul Sharma"/>
  </r>
  <r>
    <x v="1"/>
    <s v="l002"/>
    <d v="2024-02-05T00:00:00"/>
    <n v="21500"/>
    <x v="0"/>
    <s v="Personal Loan"/>
    <s v="C002"/>
    <s v="Anita Verma"/>
  </r>
  <r>
    <x v="2"/>
    <s v="l003"/>
    <d v="2024-01-10T00:00:00"/>
    <n v="6900"/>
    <x v="0"/>
    <s v="Business Loan"/>
    <s v="C003"/>
    <s v="Suresh Patil"/>
  </r>
  <r>
    <x v="3"/>
    <s v="l004"/>
    <d v="2024-02-10T00:00:00"/>
    <n v="6900"/>
    <x v="1"/>
    <s v="Car Loan"/>
    <s v="C004"/>
    <s v="Pooja Singh"/>
  </r>
  <r>
    <x v="4"/>
    <s v="l005"/>
    <d v="2024-01-12T00:00:00"/>
    <n v="9800"/>
    <x v="0"/>
    <s v="Business Loan"/>
    <s v="C005"/>
    <s v="Amit Kulkarni"/>
  </r>
  <r>
    <x v="5"/>
    <s v="l006"/>
    <d v="2024-01-18T00:00:00"/>
    <n v="32000"/>
    <x v="0"/>
    <s v="Personal Loan"/>
    <s v="C006"/>
    <s v="Neha Josh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2F2AD-ECFB-4CAA-9280-9FF44A0F6B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I8" firstHeaderRow="1" firstDataRow="3" firstDataCol="1"/>
  <pivotFields count="14">
    <pivotField dataField="1" showAll="0">
      <items count="7">
        <item x="0"/>
        <item x="1"/>
        <item x="2"/>
        <item x="3"/>
        <item x="4"/>
        <item x="5"/>
        <item t="default"/>
      </items>
    </pivotField>
    <pivotField showAll="0"/>
    <pivotField showAll="0"/>
    <pivotField showAll="0"/>
    <pivotField showAll="0">
      <items count="7">
        <item x="4"/>
        <item x="3"/>
        <item x="0"/>
        <item x="2"/>
        <item x="5"/>
        <item x="1"/>
        <item t="default"/>
      </items>
    </pivotField>
    <pivotField showAll="0"/>
    <pivotField axis="axisRow" showAll="0">
      <items count="5">
        <item x="2"/>
        <item x="3"/>
        <item x="0"/>
        <item x="1"/>
        <item t="default"/>
      </items>
    </pivotField>
    <pivotField axis="axisCol" showAll="0">
      <items count="4">
        <item x="0"/>
        <item x="2"/>
        <item x="1"/>
        <item t="default"/>
      </items>
    </pivotField>
    <pivotField dataField="1" showAll="0"/>
    <pivotField showAll="0"/>
    <pivotField numFmtId="2" showAll="0"/>
    <pivotField showAll="0"/>
    <pivotField showAll="0"/>
    <pivotField numFmtId="10" showAll="0"/>
  </pivotFields>
  <rowFields count="1">
    <field x="6"/>
  </rowFields>
  <rowItems count="5">
    <i>
      <x/>
    </i>
    <i>
      <x v="1"/>
    </i>
    <i>
      <x v="2"/>
    </i>
    <i>
      <x v="3"/>
    </i>
    <i t="grand">
      <x/>
    </i>
  </rowItems>
  <colFields count="2">
    <field x="7"/>
    <field x="-2"/>
  </colFields>
  <colItems count="8">
    <i>
      <x/>
      <x/>
    </i>
    <i r="1" i="1">
      <x v="1"/>
    </i>
    <i>
      <x v="1"/>
      <x/>
    </i>
    <i r="1" i="1">
      <x v="1"/>
    </i>
    <i>
      <x v="2"/>
      <x/>
    </i>
    <i r="1" i="1">
      <x v="1"/>
    </i>
    <i t="grand">
      <x/>
    </i>
    <i t="grand" i="1">
      <x/>
    </i>
  </colItems>
  <dataFields count="2">
    <dataField name="Count of Loan_id" fld="0" subtotal="count" baseField="0" baseItem="0"/>
    <dataField name="Sum of loan_amount" fld="8"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1"/>
          </reference>
          <reference field="7"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1"/>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2"/>
          </reference>
        </references>
      </pivotArea>
    </chartFormat>
    <chartFormat chart="0" format="5" series="1">
      <pivotArea type="data" outline="0" fieldPosition="0">
        <references count="2">
          <reference field="4294967294" count="1" selected="0">
            <x v="1"/>
          </reference>
          <reference field="7" count="1" selected="0">
            <x v="2"/>
          </reference>
        </references>
      </pivotArea>
    </chartFormat>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1"/>
          </reference>
          <reference field="7" count="1" selected="0">
            <x v="0"/>
          </reference>
        </references>
      </pivotArea>
    </chartFormat>
    <chartFormat chart="3" format="14" series="1">
      <pivotArea type="data" outline="0" fieldPosition="0">
        <references count="2">
          <reference field="4294967294" count="1" selected="0">
            <x v="0"/>
          </reference>
          <reference field="7" count="1" selected="0">
            <x v="1"/>
          </reference>
        </references>
      </pivotArea>
    </chartFormat>
    <chartFormat chart="3" format="15" series="1">
      <pivotArea type="data" outline="0" fieldPosition="0">
        <references count="2">
          <reference field="4294967294" count="1" selected="0">
            <x v="1"/>
          </reference>
          <reference field="7" count="1" selected="0">
            <x v="1"/>
          </reference>
        </references>
      </pivotArea>
    </chartFormat>
    <chartFormat chart="3" format="16" series="1">
      <pivotArea type="data" outline="0" fieldPosition="0">
        <references count="2">
          <reference field="4294967294" count="1" selected="0">
            <x v="0"/>
          </reference>
          <reference field="7" count="1" selected="0">
            <x v="2"/>
          </reference>
        </references>
      </pivotArea>
    </chartFormat>
    <chartFormat chart="3" format="17" series="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752897-197F-4AA0-BDF9-B3591FDA02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rowPageCount="1" colPageCount="1"/>
  <pivotFields count="14">
    <pivotField dataField="1" showAll="0">
      <items count="7">
        <item x="0"/>
        <item x="1"/>
        <item x="2"/>
        <item x="3"/>
        <item x="4"/>
        <item x="5"/>
        <item t="default"/>
      </items>
    </pivotField>
    <pivotField showAll="0"/>
    <pivotField showAll="0"/>
    <pivotField showAll="0"/>
    <pivotField showAll="0">
      <items count="7">
        <item x="4"/>
        <item x="3"/>
        <item x="0"/>
        <item x="2"/>
        <item x="5"/>
        <item x="1"/>
        <item t="default"/>
      </items>
    </pivotField>
    <pivotField showAll="0"/>
    <pivotField axis="axisPage" showAll="0">
      <items count="5">
        <item x="2"/>
        <item x="3"/>
        <item x="0"/>
        <item x="1"/>
        <item t="default"/>
      </items>
    </pivotField>
    <pivotField showAll="0"/>
    <pivotField dataField="1" showAll="0"/>
    <pivotField showAll="0"/>
    <pivotField numFmtId="2" showAll="0"/>
    <pivotField axis="axisRow" showAll="0">
      <items count="2">
        <item x="0"/>
        <item t="default"/>
      </items>
    </pivotField>
    <pivotField axis="axisRow" showAll="0">
      <items count="4">
        <item x="2"/>
        <item x="0"/>
        <item x="1"/>
        <item t="default"/>
      </items>
    </pivotField>
    <pivotField numFmtId="10" showAll="0"/>
  </pivotFields>
  <rowFields count="2">
    <field x="11"/>
    <field x="12"/>
  </rowFields>
  <rowItems count="5">
    <i>
      <x/>
    </i>
    <i r="1">
      <x/>
    </i>
    <i r="1">
      <x v="1"/>
    </i>
    <i r="1">
      <x v="2"/>
    </i>
    <i t="grand">
      <x/>
    </i>
  </rowItems>
  <colFields count="1">
    <field x="-2"/>
  </colFields>
  <colItems count="2">
    <i>
      <x/>
    </i>
    <i i="1">
      <x v="1"/>
    </i>
  </colItems>
  <pageFields count="1">
    <pageField fld="6" hier="-1"/>
  </pageFields>
  <dataFields count="2">
    <dataField name="Count of Loan_id" fld="0" subtotal="count" baseField="0" baseItem="0"/>
    <dataField name="Sum of loan_amount" fld="8"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3">
          <reference field="4294967294" count="1" selected="0">
            <x v="0"/>
          </reference>
          <reference field="11" count="1" selected="0">
            <x v="0"/>
          </reference>
          <reference field="12" count="1" selected="0">
            <x v="0"/>
          </reference>
        </references>
      </pivotArea>
    </chartFormat>
    <chartFormat chart="3" format="12">
      <pivotArea type="data" outline="0" fieldPosition="0">
        <references count="3">
          <reference field="4294967294" count="1" selected="0">
            <x v="0"/>
          </reference>
          <reference field="11" count="1" selected="0">
            <x v="0"/>
          </reference>
          <reference field="12" count="1" selected="0">
            <x v="1"/>
          </reference>
        </references>
      </pivotArea>
    </chartFormat>
    <chartFormat chart="3" format="13">
      <pivotArea type="data" outline="0" fieldPosition="0">
        <references count="3">
          <reference field="4294967294" count="1" selected="0">
            <x v="0"/>
          </reference>
          <reference field="11" count="1" selected="0">
            <x v="0"/>
          </reference>
          <reference field="12"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3">
          <reference field="4294967294" count="1" selected="0">
            <x v="1"/>
          </reference>
          <reference field="11" count="1" selected="0">
            <x v="0"/>
          </reference>
          <reference field="12" count="1" selected="0">
            <x v="0"/>
          </reference>
        </references>
      </pivotArea>
    </chartFormat>
    <chartFormat chart="3" format="16">
      <pivotArea type="data" outline="0" fieldPosition="0">
        <references count="3">
          <reference field="4294967294" count="1" selected="0">
            <x v="1"/>
          </reference>
          <reference field="11" count="1" selected="0">
            <x v="0"/>
          </reference>
          <reference field="12" count="1" selected="0">
            <x v="1"/>
          </reference>
        </references>
      </pivotArea>
    </chartFormat>
    <chartFormat chart="3" format="17">
      <pivotArea type="data" outline="0" fieldPosition="0">
        <references count="3">
          <reference field="4294967294" count="1" selected="0">
            <x v="1"/>
          </reference>
          <reference field="11" count="1" selected="0">
            <x v="0"/>
          </reference>
          <reference field="12" count="1" selected="0">
            <x v="2"/>
          </reference>
        </references>
      </pivotArea>
    </chartFormat>
    <chartFormat chart="0" format="2">
      <pivotArea type="data" outline="0" fieldPosition="0">
        <references count="3">
          <reference field="4294967294" count="1" selected="0">
            <x v="0"/>
          </reference>
          <reference field="11" count="1" selected="0">
            <x v="0"/>
          </reference>
          <reference field="12" count="1" selected="0">
            <x v="0"/>
          </reference>
        </references>
      </pivotArea>
    </chartFormat>
    <chartFormat chart="0" format="3">
      <pivotArea type="data" outline="0" fieldPosition="0">
        <references count="3">
          <reference field="4294967294" count="1" selected="0">
            <x v="0"/>
          </reference>
          <reference field="11" count="1" selected="0">
            <x v="0"/>
          </reference>
          <reference field="12" count="1" selected="0">
            <x v="1"/>
          </reference>
        </references>
      </pivotArea>
    </chartFormat>
    <chartFormat chart="0" format="4">
      <pivotArea type="data" outline="0" fieldPosition="0">
        <references count="3">
          <reference field="4294967294" count="1" selected="0">
            <x v="0"/>
          </reference>
          <reference field="11" count="1" selected="0">
            <x v="0"/>
          </reference>
          <reference field="12" count="1" selected="0">
            <x v="2"/>
          </reference>
        </references>
      </pivotArea>
    </chartFormat>
    <chartFormat chart="0" format="5">
      <pivotArea type="data" outline="0" fieldPosition="0">
        <references count="3">
          <reference field="4294967294" count="1" selected="0">
            <x v="1"/>
          </reference>
          <reference field="11" count="1" selected="0">
            <x v="0"/>
          </reference>
          <reference field="12" count="1" selected="0">
            <x v="0"/>
          </reference>
        </references>
      </pivotArea>
    </chartFormat>
    <chartFormat chart="0" format="6">
      <pivotArea type="data" outline="0" fieldPosition="0">
        <references count="3">
          <reference field="4294967294" count="1" selected="0">
            <x v="1"/>
          </reference>
          <reference field="11" count="1" selected="0">
            <x v="0"/>
          </reference>
          <reference field="12" count="1" selected="0">
            <x v="1"/>
          </reference>
        </references>
      </pivotArea>
    </chartFormat>
    <chartFormat chart="0" format="7">
      <pivotArea type="data" outline="0" fieldPosition="0">
        <references count="3">
          <reference field="4294967294" count="1" selected="0">
            <x v="1"/>
          </reference>
          <reference field="11"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66BFBD-57EE-4DE8-AA63-0716370CD52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4" firstHeaderRow="0" firstDataRow="1" firstDataCol="1"/>
  <pivotFields count="8">
    <pivotField dataField="1" showAll="0">
      <items count="7">
        <item x="0"/>
        <item x="1"/>
        <item x="2"/>
        <item x="3"/>
        <item x="4"/>
        <item x="5"/>
        <item t="default"/>
      </items>
    </pivotField>
    <pivotField showAll="0"/>
    <pivotField numFmtId="14" showAll="0"/>
    <pivotField dataField="1" showAll="0"/>
    <pivotField axis="axisRow" showAll="0">
      <items count="3">
        <item x="1"/>
        <item x="0"/>
        <item t="default"/>
      </items>
    </pivotField>
    <pivotField showAll="0"/>
    <pivotField showAll="0"/>
    <pivotField showAll="0"/>
  </pivotFields>
  <rowFields count="1">
    <field x="4"/>
  </rowFields>
  <rowItems count="3">
    <i>
      <x/>
    </i>
    <i>
      <x v="1"/>
    </i>
    <i t="grand">
      <x/>
    </i>
  </rowItems>
  <colFields count="1">
    <field x="-2"/>
  </colFields>
  <colItems count="2">
    <i>
      <x/>
    </i>
    <i i="1">
      <x v="1"/>
    </i>
  </colItems>
  <dataFields count="2">
    <dataField name="Count of payment_id" fld="0" subtotal="count" baseField="0" baseItem="0"/>
    <dataField name="Sum of emi_amount"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4847C5-0A31-4846-A344-5CC148592AC3}" autoFormatId="16" applyNumberFormats="0" applyBorderFormats="0" applyFontFormats="0" applyPatternFormats="0" applyAlignmentFormats="0" applyWidthHeightFormats="0">
  <queryTableRefresh nextId="4">
    <queryTableFields count="3">
      <queryTableField id="1" name="customer_id" tableColumnId="1"/>
      <queryTableField id="2" name="credit_score" tableColumnId="2"/>
      <queryTableField id="3" name="risk_categor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15BDBF9-754D-40E2-8F9A-3D624ED72346}" autoFormatId="16" applyNumberFormats="0" applyBorderFormats="0" applyFontFormats="0" applyPatternFormats="0" applyAlignmentFormats="0" applyWidthHeightFormats="0">
  <queryTableRefresh nextId="9">
    <queryTableFields count="8">
      <queryTableField id="1" name="customer_id" tableColumnId="1"/>
      <queryTableField id="2" name="full_name" tableColumnId="2"/>
      <queryTableField id="3" name="age" tableColumnId="3"/>
      <queryTableField id="4" name="gender" tableColumnId="4"/>
      <queryTableField id="5" name="marital_status" tableColumnId="5"/>
      <queryTableField id="6" name="employment_type" tableColumnId="6"/>
      <queryTableField id="7" name="annual_income" tableColumnId="7"/>
      <queryTableField id="8" name="city"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EEF48AC-FDC5-474B-8C61-00D6CB9393AA}" autoFormatId="16" applyNumberFormats="0" applyBorderFormats="0" applyFontFormats="0" applyPatternFormats="0" applyAlignmentFormats="0" applyWidthHeightFormats="0">
  <queryTableRefresh nextId="9">
    <queryTableFields count="8">
      <queryTableField id="1" name="loan_id" tableColumnId="1"/>
      <queryTableField id="2" name="customer_id" tableColumnId="2"/>
      <queryTableField id="3" name="loan_type" tableColumnId="3"/>
      <queryTableField id="4" name="loan_amount" tableColumnId="4"/>
      <queryTableField id="5" name="loan_tenure_years" tableColumnId="5"/>
      <queryTableField id="6" name="interest_rate" tableColumnId="6"/>
      <queryTableField id="7" name="application_date" tableColumnId="7"/>
      <queryTableField id="8" name="loan_statu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56F8698-7D17-4764-B518-55939EF2FD47}" autoFormatId="16" applyNumberFormats="0" applyBorderFormats="0" applyFontFormats="0" applyPatternFormats="0" applyAlignmentFormats="0" applyWidthHeightFormats="0">
  <queryTableRefresh nextId="6">
    <queryTableFields count="5">
      <queryTableField id="1" name="payment_id" tableColumnId="1"/>
      <queryTableField id="2" name="loan_id" tableColumnId="2"/>
      <queryTableField id="3" name="payment_date" tableColumnId="3"/>
      <queryTableField id="4" name="emi_amount" tableColumnId="4"/>
      <queryTableField id="5" name="payment_statu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B283A3-55EF-4EE9-90CF-BD9EE2CA0B57}" sourceName="city">
  <pivotTables>
    <pivotTable tabId="7" name="PivotTable8"/>
    <pivotTable tabId="8" name="PivotTable9"/>
  </pivotTables>
  <data>
    <tabular pivotCacheId="939480287">
      <items count="6">
        <i x="4" s="1"/>
        <i x="3" s="1"/>
        <i x="0"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4B677233-470B-460E-856E-1D6A07A77BF3}" sourceName="Loan_type">
  <pivotTables>
    <pivotTable tabId="7" name="PivotTable8"/>
    <pivotTable tabId="8" name="PivotTable9"/>
  </pivotTables>
  <data>
    <tabular pivotCacheId="93948028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440EB12-8512-4B76-AADE-D03494C7160F}" cache="Slicer_city" caption="city" columnCount="3" style="SlicerStyleOther1" rowHeight="234950"/>
  <slicer name="Loan_type" xr10:uid="{DABE1CCF-090D-4307-B183-80D260C214C9}" cache="Slicer_Loan_type" caption="Loan_type" columnCount="4"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6B1374-0141-4BCB-80BB-8C5C303F36AB}" name="Credit_score" displayName="Credit_score" ref="A1:C7" tableType="queryTable" totalsRowShown="0">
  <autoFilter ref="A1:C7" xr:uid="{276B1374-0141-4BCB-80BB-8C5C303F36AB}"/>
  <tableColumns count="3">
    <tableColumn id="1" xr3:uid="{28733CC7-979D-47ED-99A4-F61B9EF96900}" uniqueName="1" name="customer_id" queryTableFieldId="1" dataDxfId="20"/>
    <tableColumn id="2" xr3:uid="{BE781F3E-89BF-4360-A8F7-11BCC9C676E8}" uniqueName="2" name="credit_score" queryTableFieldId="2"/>
    <tableColumn id="3" xr3:uid="{26679857-0800-4FF5-B60D-34F4DE6CFE47}" uniqueName="3" name="risk_category" queryTableFieldId="3"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676EBA-50E6-4730-8476-26A3AE1773A4}" name="customers" displayName="customers" ref="A1:H7" tableType="queryTable" totalsRowShown="0">
  <autoFilter ref="A1:H7" xr:uid="{9C676EBA-50E6-4730-8476-26A3AE1773A4}"/>
  <tableColumns count="8">
    <tableColumn id="1" xr3:uid="{75465626-F2FA-46A9-BD08-FB8176A437A8}" uniqueName="1" name="customer_id" queryTableFieldId="1" dataDxfId="18"/>
    <tableColumn id="2" xr3:uid="{3CDD4606-418E-4E53-900D-D38C4758BB6C}" uniqueName="2" name="full_name" queryTableFieldId="2" dataDxfId="17"/>
    <tableColumn id="3" xr3:uid="{DFB9A288-3C66-44B6-8C2B-A3A6407FDB8D}" uniqueName="3" name="age" queryTableFieldId="3"/>
    <tableColumn id="4" xr3:uid="{162D3E7A-D8AC-4595-94BA-B7F23716353C}" uniqueName="4" name="gender" queryTableFieldId="4" dataDxfId="16"/>
    <tableColumn id="5" xr3:uid="{1873EFDC-1ADE-4851-BDD0-F7EA33064EB1}" uniqueName="5" name="marital_status" queryTableFieldId="5" dataDxfId="15"/>
    <tableColumn id="6" xr3:uid="{7B6E0041-E368-4E9E-A913-057278C9CAF6}" uniqueName="6" name="employment_type" queryTableFieldId="6" dataDxfId="14"/>
    <tableColumn id="7" xr3:uid="{51E978FF-985B-4BC4-87CD-138BCC5069FD}" uniqueName="7" name="annual_income" queryTableFieldId="7" dataDxfId="13"/>
    <tableColumn id="8" xr3:uid="{5B6243D8-9D93-435E-AA75-4AA8327DE828}" uniqueName="8" name="city" queryTableFieldId="8"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0885A7-A584-4E6B-B384-42E8C3E515C5}" name="Loan_application" displayName="Loan_application" ref="A1:H7" tableType="queryTable" totalsRowShown="0">
  <autoFilter ref="A1:H7" xr:uid="{F70885A7-A584-4E6B-B384-42E8C3E515C5}"/>
  <tableColumns count="8">
    <tableColumn id="1" xr3:uid="{42635D4D-506F-4905-BF28-B20A341EDC6E}" uniqueName="1" name="loan_id" queryTableFieldId="1" dataDxfId="11"/>
    <tableColumn id="2" xr3:uid="{E1268036-BFCF-4ED2-9599-E909B7D1C91A}" uniqueName="2" name="customer_id" queryTableFieldId="2" dataDxfId="10"/>
    <tableColumn id="3" xr3:uid="{4DD0AF6C-78D8-4955-B2F6-FCECB26878A0}" uniqueName="3" name="loan_type" queryTableFieldId="3" dataDxfId="9"/>
    <tableColumn id="4" xr3:uid="{E866B7EA-CC4F-45B6-B2B7-A29F48610334}" uniqueName="4" name="loan_amount" queryTableFieldId="4" dataDxfId="8"/>
    <tableColumn id="5" xr3:uid="{3509CA7E-FA7A-4FD0-BEAC-5AFE25164A2E}" uniqueName="5" name="loan_tenure_years" queryTableFieldId="5"/>
    <tableColumn id="6" xr3:uid="{D6861DEA-D3C8-4B10-9465-5DD09D526398}" uniqueName="6" name="interest_rate" queryTableFieldId="6" dataDxfId="7"/>
    <tableColumn id="7" xr3:uid="{74F008F5-002F-4532-8F60-E043E86FE045}" uniqueName="7" name="application_date" queryTableFieldId="7" dataDxfId="6"/>
    <tableColumn id="8" xr3:uid="{930802DE-9EC2-4518-862A-1BF927250820}" uniqueName="8" name="loan_status" queryTableFieldId="8"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EDC956-26BB-4336-BE5F-1C8F22FC4064}" name="loan_payments" displayName="loan_payments" ref="A1:E7" tableType="queryTable" totalsRowShown="0">
  <autoFilter ref="A1:E7" xr:uid="{BEEDC956-26BB-4336-BE5F-1C8F22FC4064}"/>
  <tableColumns count="5">
    <tableColumn id="1" xr3:uid="{838C1760-2DEB-4795-8DBD-10B8033D4C3A}" uniqueName="1" name="payment_id" queryTableFieldId="1" dataDxfId="4"/>
    <tableColumn id="2" xr3:uid="{C7E6FF07-EC14-4130-8A19-ED0A801DDEDE}" uniqueName="2" name="loan_id" queryTableFieldId="2" dataDxfId="3"/>
    <tableColumn id="3" xr3:uid="{DE8A5AEB-AAD5-4742-9E29-ED7824B8CE38}" uniqueName="3" name="payment_date" queryTableFieldId="3" dataDxfId="2"/>
    <tableColumn id="4" xr3:uid="{AD5F2C8A-B295-4FCE-AA97-63F4CC1A7E1E}" uniqueName="4" name="emi_amount" queryTableFieldId="4" dataDxfId="1"/>
    <tableColumn id="5" xr3:uid="{45E26351-C203-4498-BCDB-3AD2DF088B09}" uniqueName="5" name="payment_status"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C5D95-7FF3-4B5D-A355-C9B810B12F7F}">
  <dimension ref="A1:C7"/>
  <sheetViews>
    <sheetView workbookViewId="0">
      <selection activeCell="D12" sqref="D12"/>
    </sheetView>
  </sheetViews>
  <sheetFormatPr defaultRowHeight="14.4" x14ac:dyDescent="0.3"/>
  <cols>
    <col min="1" max="1" width="13.6640625" bestFit="1" customWidth="1"/>
    <col min="2" max="2" width="13.44140625" bestFit="1" customWidth="1"/>
    <col min="3" max="3" width="14.44140625" bestFit="1" customWidth="1"/>
  </cols>
  <sheetData>
    <row r="1" spans="1:3" x14ac:dyDescent="0.3">
      <c r="A1" t="s">
        <v>0</v>
      </c>
      <c r="B1" t="s">
        <v>1</v>
      </c>
      <c r="C1" t="s">
        <v>2</v>
      </c>
    </row>
    <row r="2" spans="1:3" x14ac:dyDescent="0.3">
      <c r="A2" t="s">
        <v>3</v>
      </c>
      <c r="B2">
        <v>780</v>
      </c>
      <c r="C2" t="s">
        <v>4</v>
      </c>
    </row>
    <row r="3" spans="1:3" x14ac:dyDescent="0.3">
      <c r="A3" t="s">
        <v>5</v>
      </c>
      <c r="B3">
        <v>710</v>
      </c>
      <c r="C3" t="s">
        <v>6</v>
      </c>
    </row>
    <row r="4" spans="1:3" x14ac:dyDescent="0.3">
      <c r="A4" t="s">
        <v>7</v>
      </c>
      <c r="B4">
        <v>640</v>
      </c>
      <c r="C4" t="s">
        <v>8</v>
      </c>
    </row>
    <row r="5" spans="1:3" x14ac:dyDescent="0.3">
      <c r="A5" t="s">
        <v>9</v>
      </c>
      <c r="B5">
        <v>750</v>
      </c>
      <c r="C5" t="s">
        <v>4</v>
      </c>
    </row>
    <row r="6" spans="1:3" x14ac:dyDescent="0.3">
      <c r="A6" t="s">
        <v>10</v>
      </c>
      <c r="B6">
        <v>720</v>
      </c>
      <c r="C6" t="s">
        <v>6</v>
      </c>
    </row>
    <row r="7" spans="1:3" x14ac:dyDescent="0.3">
      <c r="A7" t="s">
        <v>11</v>
      </c>
      <c r="B7">
        <v>680</v>
      </c>
      <c r="C7"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CCE8-116A-4111-A63D-249F26D356DD}">
  <dimension ref="A1:H7"/>
  <sheetViews>
    <sheetView workbookViewId="0">
      <selection activeCell="D16" sqref="D16"/>
    </sheetView>
  </sheetViews>
  <sheetFormatPr defaultRowHeight="14.4" x14ac:dyDescent="0.3"/>
  <cols>
    <col min="1" max="1" width="13.6640625" bestFit="1" customWidth="1"/>
    <col min="2" max="2" width="12.109375" bestFit="1" customWidth="1"/>
    <col min="3" max="3" width="6.21875" bestFit="1" customWidth="1"/>
    <col min="4" max="4" width="9.109375" bestFit="1" customWidth="1"/>
    <col min="5" max="5" width="15.109375" bestFit="1" customWidth="1"/>
    <col min="6" max="6" width="18.88671875" bestFit="1" customWidth="1"/>
    <col min="7" max="7" width="16.33203125" style="2" bestFit="1" customWidth="1"/>
    <col min="8" max="8" width="9.21875" bestFit="1" customWidth="1"/>
  </cols>
  <sheetData>
    <row r="1" spans="1:8" x14ac:dyDescent="0.3">
      <c r="A1" t="s">
        <v>0</v>
      </c>
      <c r="B1" t="s">
        <v>12</v>
      </c>
      <c r="C1" t="s">
        <v>13</v>
      </c>
      <c r="D1" t="s">
        <v>14</v>
      </c>
      <c r="E1" t="s">
        <v>15</v>
      </c>
      <c r="F1" t="s">
        <v>16</v>
      </c>
      <c r="G1" s="2" t="s">
        <v>17</v>
      </c>
      <c r="H1" t="s">
        <v>18</v>
      </c>
    </row>
    <row r="2" spans="1:8" x14ac:dyDescent="0.3">
      <c r="A2" t="s">
        <v>3</v>
      </c>
      <c r="B2" t="s">
        <v>19</v>
      </c>
      <c r="C2">
        <v>32</v>
      </c>
      <c r="D2" t="s">
        <v>20</v>
      </c>
      <c r="E2" t="s">
        <v>21</v>
      </c>
      <c r="F2" t="s">
        <v>22</v>
      </c>
      <c r="G2" s="2">
        <v>850000</v>
      </c>
      <c r="H2" t="s">
        <v>23</v>
      </c>
    </row>
    <row r="3" spans="1:8" x14ac:dyDescent="0.3">
      <c r="A3" t="s">
        <v>5</v>
      </c>
      <c r="B3" t="s">
        <v>24</v>
      </c>
      <c r="C3">
        <v>28</v>
      </c>
      <c r="D3" t="s">
        <v>25</v>
      </c>
      <c r="E3" t="s">
        <v>26</v>
      </c>
      <c r="F3" t="s">
        <v>22</v>
      </c>
      <c r="G3" s="2">
        <v>620000</v>
      </c>
      <c r="H3" t="s">
        <v>27</v>
      </c>
    </row>
    <row r="4" spans="1:8" x14ac:dyDescent="0.3">
      <c r="A4" t="s">
        <v>7</v>
      </c>
      <c r="B4" t="s">
        <v>28</v>
      </c>
      <c r="C4">
        <v>45</v>
      </c>
      <c r="D4" t="s">
        <v>20</v>
      </c>
      <c r="E4" t="s">
        <v>21</v>
      </c>
      <c r="F4" t="s">
        <v>29</v>
      </c>
      <c r="G4" s="2">
        <v>1200000</v>
      </c>
      <c r="H4" t="s">
        <v>30</v>
      </c>
    </row>
    <row r="5" spans="1:8" x14ac:dyDescent="0.3">
      <c r="A5" t="s">
        <v>9</v>
      </c>
      <c r="B5" t="s">
        <v>31</v>
      </c>
      <c r="C5">
        <v>36</v>
      </c>
      <c r="D5" t="s">
        <v>25</v>
      </c>
      <c r="E5" t="s">
        <v>21</v>
      </c>
      <c r="F5" t="s">
        <v>22</v>
      </c>
      <c r="G5" s="2">
        <v>780000</v>
      </c>
      <c r="H5" t="s">
        <v>32</v>
      </c>
    </row>
    <row r="6" spans="1:8" x14ac:dyDescent="0.3">
      <c r="A6" t="s">
        <v>10</v>
      </c>
      <c r="B6" t="s">
        <v>33</v>
      </c>
      <c r="C6">
        <v>50</v>
      </c>
      <c r="D6" t="s">
        <v>20</v>
      </c>
      <c r="E6" t="s">
        <v>21</v>
      </c>
      <c r="F6" t="s">
        <v>29</v>
      </c>
      <c r="G6" s="2">
        <v>1500000</v>
      </c>
      <c r="H6" t="s">
        <v>34</v>
      </c>
    </row>
    <row r="7" spans="1:8" x14ac:dyDescent="0.3">
      <c r="A7" t="s">
        <v>11</v>
      </c>
      <c r="B7" t="s">
        <v>35</v>
      </c>
      <c r="C7">
        <v>26</v>
      </c>
      <c r="D7" t="s">
        <v>25</v>
      </c>
      <c r="E7" t="s">
        <v>26</v>
      </c>
      <c r="F7" t="s">
        <v>22</v>
      </c>
      <c r="G7" s="2">
        <v>480000</v>
      </c>
      <c r="H7"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D267-6109-43AA-96A7-AAAE7A3B0CA5}">
  <dimension ref="A1:H7"/>
  <sheetViews>
    <sheetView workbookViewId="0">
      <selection activeCell="C18" sqref="C18"/>
    </sheetView>
  </sheetViews>
  <sheetFormatPr defaultRowHeight="14.4" x14ac:dyDescent="0.3"/>
  <cols>
    <col min="1" max="1" width="9.44140625" bestFit="1" customWidth="1"/>
    <col min="2" max="2" width="13.6640625" bestFit="1" customWidth="1"/>
    <col min="3" max="3" width="12.44140625" bestFit="1" customWidth="1"/>
    <col min="4" max="4" width="14.5546875" style="2" bestFit="1" customWidth="1"/>
    <col min="5" max="5" width="19" bestFit="1" customWidth="1"/>
    <col min="6" max="6" width="13.88671875" bestFit="1" customWidth="1"/>
    <col min="7" max="7" width="17.44140625" style="1" bestFit="1" customWidth="1"/>
    <col min="8" max="8" width="12.88671875" bestFit="1" customWidth="1"/>
  </cols>
  <sheetData>
    <row r="1" spans="1:8" x14ac:dyDescent="0.3">
      <c r="A1" t="s">
        <v>37</v>
      </c>
      <c r="B1" t="s">
        <v>0</v>
      </c>
      <c r="C1" t="s">
        <v>38</v>
      </c>
      <c r="D1" s="2" t="s">
        <v>39</v>
      </c>
      <c r="E1" t="s">
        <v>40</v>
      </c>
      <c r="F1" t="s">
        <v>41</v>
      </c>
      <c r="G1" s="1" t="s">
        <v>42</v>
      </c>
      <c r="H1" t="s">
        <v>43</v>
      </c>
    </row>
    <row r="2" spans="1:8" x14ac:dyDescent="0.3">
      <c r="A2" t="s">
        <v>44</v>
      </c>
      <c r="B2" t="s">
        <v>3</v>
      </c>
      <c r="C2" t="s">
        <v>45</v>
      </c>
      <c r="D2" s="2">
        <v>2500000</v>
      </c>
      <c r="E2">
        <v>20</v>
      </c>
      <c r="F2" s="3">
        <v>8.5000000000000006E-2</v>
      </c>
      <c r="G2" s="1">
        <v>45000</v>
      </c>
      <c r="H2" t="s">
        <v>46</v>
      </c>
    </row>
    <row r="3" spans="1:8" x14ac:dyDescent="0.3">
      <c r="A3" t="s">
        <v>47</v>
      </c>
      <c r="B3" t="s">
        <v>5</v>
      </c>
      <c r="C3" t="s">
        <v>48</v>
      </c>
      <c r="D3" s="2">
        <v>300000</v>
      </c>
      <c r="E3">
        <v>5</v>
      </c>
      <c r="F3" s="3">
        <v>0.13</v>
      </c>
      <c r="G3" s="1">
        <v>45087</v>
      </c>
      <c r="H3" t="s">
        <v>46</v>
      </c>
    </row>
    <row r="4" spans="1:8" x14ac:dyDescent="0.3">
      <c r="A4" t="s">
        <v>49</v>
      </c>
      <c r="B4" t="s">
        <v>7</v>
      </c>
      <c r="C4" t="s">
        <v>50</v>
      </c>
      <c r="D4" s="2">
        <v>1500000</v>
      </c>
      <c r="E4">
        <v>10</v>
      </c>
      <c r="F4" s="3">
        <v>0.115</v>
      </c>
      <c r="G4" s="1">
        <v>44951</v>
      </c>
      <c r="H4" t="s">
        <v>51</v>
      </c>
    </row>
    <row r="5" spans="1:8" x14ac:dyDescent="0.3">
      <c r="A5" t="s">
        <v>52</v>
      </c>
      <c r="B5" t="s">
        <v>9</v>
      </c>
      <c r="C5" t="s">
        <v>53</v>
      </c>
      <c r="D5" s="2">
        <v>600000</v>
      </c>
      <c r="E5">
        <v>7</v>
      </c>
      <c r="F5" s="3">
        <v>9.5000000000000001E-2</v>
      </c>
      <c r="G5" s="1">
        <v>45174</v>
      </c>
      <c r="H5" t="s">
        <v>46</v>
      </c>
    </row>
    <row r="6" spans="1:8" x14ac:dyDescent="0.3">
      <c r="A6" t="s">
        <v>54</v>
      </c>
      <c r="B6" t="s">
        <v>10</v>
      </c>
      <c r="C6" t="s">
        <v>50</v>
      </c>
      <c r="D6" s="2">
        <v>3000000</v>
      </c>
      <c r="E6">
        <v>15</v>
      </c>
      <c r="F6" s="3">
        <v>0.12</v>
      </c>
      <c r="G6" s="1">
        <v>44969</v>
      </c>
      <c r="H6" t="s">
        <v>46</v>
      </c>
    </row>
    <row r="7" spans="1:8" x14ac:dyDescent="0.3">
      <c r="A7" t="s">
        <v>55</v>
      </c>
      <c r="B7" t="s">
        <v>11</v>
      </c>
      <c r="C7" t="s">
        <v>48</v>
      </c>
      <c r="D7" s="2">
        <v>200000</v>
      </c>
      <c r="E7">
        <v>4</v>
      </c>
      <c r="F7" s="3">
        <v>0.14000000000000001</v>
      </c>
      <c r="G7" s="1">
        <v>45250</v>
      </c>
      <c r="H7"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B4EEA-B26C-4C35-A2CC-79ACAA50959C}">
  <dimension ref="A1:E7"/>
  <sheetViews>
    <sheetView workbookViewId="0">
      <selection activeCell="E1" sqref="E1"/>
    </sheetView>
  </sheetViews>
  <sheetFormatPr defaultRowHeight="14.4" x14ac:dyDescent="0.3"/>
  <cols>
    <col min="1" max="1" width="13.33203125" bestFit="1" customWidth="1"/>
    <col min="2" max="2" width="9.44140625" bestFit="1" customWidth="1"/>
    <col min="3" max="3" width="15.6640625" style="1" bestFit="1" customWidth="1"/>
    <col min="4" max="4" width="14" style="2" bestFit="1" customWidth="1"/>
    <col min="5" max="5" width="16.88671875" bestFit="1" customWidth="1"/>
  </cols>
  <sheetData>
    <row r="1" spans="1:5" x14ac:dyDescent="0.3">
      <c r="A1" t="s">
        <v>57</v>
      </c>
      <c r="B1" t="s">
        <v>37</v>
      </c>
      <c r="C1" s="1" t="s">
        <v>58</v>
      </c>
      <c r="D1" s="2" t="s">
        <v>59</v>
      </c>
      <c r="E1" t="s">
        <v>60</v>
      </c>
    </row>
    <row r="2" spans="1:5" x14ac:dyDescent="0.3">
      <c r="A2" t="s">
        <v>61</v>
      </c>
      <c r="B2" t="s">
        <v>44</v>
      </c>
      <c r="C2" s="1">
        <v>45296</v>
      </c>
      <c r="D2" s="2">
        <v>21500</v>
      </c>
      <c r="E2" t="s">
        <v>62</v>
      </c>
    </row>
    <row r="3" spans="1:5" x14ac:dyDescent="0.3">
      <c r="A3" t="s">
        <v>63</v>
      </c>
      <c r="B3" t="s">
        <v>44</v>
      </c>
      <c r="C3" s="1">
        <v>45327</v>
      </c>
      <c r="D3" s="2">
        <v>21500</v>
      </c>
      <c r="E3" t="s">
        <v>62</v>
      </c>
    </row>
    <row r="4" spans="1:5" x14ac:dyDescent="0.3">
      <c r="A4" t="s">
        <v>64</v>
      </c>
      <c r="B4" t="s">
        <v>47</v>
      </c>
      <c r="C4" s="1">
        <v>45301</v>
      </c>
      <c r="D4" s="2">
        <v>6900</v>
      </c>
      <c r="E4" t="s">
        <v>62</v>
      </c>
    </row>
    <row r="5" spans="1:5" x14ac:dyDescent="0.3">
      <c r="A5" t="s">
        <v>65</v>
      </c>
      <c r="B5" t="s">
        <v>47</v>
      </c>
      <c r="C5" s="1">
        <v>45332</v>
      </c>
      <c r="D5" s="2">
        <v>6900</v>
      </c>
      <c r="E5" t="s">
        <v>66</v>
      </c>
    </row>
    <row r="6" spans="1:5" x14ac:dyDescent="0.3">
      <c r="A6" t="s">
        <v>67</v>
      </c>
      <c r="B6" t="s">
        <v>52</v>
      </c>
      <c r="C6" s="1">
        <v>45303</v>
      </c>
      <c r="D6" s="2">
        <v>9800</v>
      </c>
      <c r="E6" t="s">
        <v>62</v>
      </c>
    </row>
    <row r="7" spans="1:5" x14ac:dyDescent="0.3">
      <c r="A7" t="s">
        <v>68</v>
      </c>
      <c r="B7" t="s">
        <v>54</v>
      </c>
      <c r="C7" s="1">
        <v>45309</v>
      </c>
      <c r="D7" s="2">
        <v>32000</v>
      </c>
      <c r="E7" t="s">
        <v>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912E-8E6C-4C63-83FD-06C6412CAA7F}">
  <dimension ref="A1:N18"/>
  <sheetViews>
    <sheetView topLeftCell="C1" workbookViewId="0">
      <selection activeCell="K18" sqref="K18"/>
    </sheetView>
  </sheetViews>
  <sheetFormatPr defaultRowHeight="14.4" x14ac:dyDescent="0.3"/>
  <cols>
    <col min="1" max="1" width="17.6640625" customWidth="1"/>
    <col min="2" max="3" width="15.88671875" customWidth="1"/>
    <col min="4" max="4" width="15" customWidth="1"/>
    <col min="5" max="5" width="12.5546875" customWidth="1"/>
    <col min="6" max="8" width="20.33203125" customWidth="1"/>
    <col min="9" max="9" width="19.109375" customWidth="1"/>
    <col min="10" max="10" width="15.77734375" customWidth="1"/>
    <col min="11" max="11" width="14.5546875" customWidth="1"/>
    <col min="12" max="12" width="14" customWidth="1"/>
    <col min="13" max="13" width="15" customWidth="1"/>
    <col min="14" max="14" width="14.6640625" customWidth="1"/>
  </cols>
  <sheetData>
    <row r="1" spans="1:14" ht="31.2" x14ac:dyDescent="0.3">
      <c r="A1" s="13"/>
      <c r="B1" s="13"/>
      <c r="C1" s="13"/>
      <c r="D1" s="13"/>
      <c r="E1" s="13"/>
      <c r="F1" s="13"/>
      <c r="G1" s="14" t="s">
        <v>98</v>
      </c>
      <c r="H1" s="14"/>
      <c r="I1" s="14"/>
      <c r="J1" s="14"/>
      <c r="K1" s="14"/>
      <c r="L1" s="14"/>
      <c r="M1" s="14"/>
      <c r="N1" s="14"/>
    </row>
    <row r="2" spans="1:14" x14ac:dyDescent="0.3">
      <c r="A2" s="4" t="s">
        <v>73</v>
      </c>
      <c r="B2" s="4" t="s">
        <v>74</v>
      </c>
      <c r="C2" s="4" t="s">
        <v>77</v>
      </c>
      <c r="D2" s="4" t="s">
        <v>13</v>
      </c>
      <c r="E2" s="4" t="s">
        <v>18</v>
      </c>
      <c r="F2" s="4" t="s">
        <v>17</v>
      </c>
      <c r="G2" s="4" t="s">
        <v>90</v>
      </c>
      <c r="H2" s="4" t="s">
        <v>91</v>
      </c>
      <c r="I2" s="4" t="s">
        <v>39</v>
      </c>
      <c r="J2" s="4" t="s">
        <v>1</v>
      </c>
      <c r="K2" s="4" t="s">
        <v>75</v>
      </c>
      <c r="L2" s="4" t="s">
        <v>76</v>
      </c>
      <c r="M2" s="4" t="s">
        <v>2</v>
      </c>
      <c r="N2" s="11" t="s">
        <v>41</v>
      </c>
    </row>
    <row r="3" spans="1:14" x14ac:dyDescent="0.3">
      <c r="A3" s="5" t="s">
        <v>80</v>
      </c>
      <c r="B3" s="5" t="s">
        <v>70</v>
      </c>
      <c r="C3" s="5" t="str" cm="1">
        <f t="array" ref="C3">_xlfn.XLOOKUP(B3,customer_id,full_name)</f>
        <v>Rahul Sharma</v>
      </c>
      <c r="D3" s="5" cm="1">
        <f t="array" ref="D3">_xlfn.XLOOKUP(B3,customer_id,age)</f>
        <v>32</v>
      </c>
      <c r="E3" s="5" t="str" cm="1">
        <f t="array" ref="E3">_xlfn.XLOOKUP(B3,customer_id,city)</f>
        <v>Mumbai</v>
      </c>
      <c r="F3" s="5" cm="1">
        <f t="array" ref="F3">_xlfn.XLOOKUP(B3,customer_id,annual_income)</f>
        <v>850000</v>
      </c>
      <c r="G3" s="5" t="str" cm="1">
        <f t="array" ref="G3">_xlfn.XLOOKUP(A3,loan_id,loan_type)</f>
        <v>Home Loan</v>
      </c>
      <c r="H3" s="10" t="s">
        <v>46</v>
      </c>
      <c r="I3" s="5" cm="1">
        <f t="array" ref="I3">_xlfn.XLOOKUP(A3,loan_id,loan_amount)</f>
        <v>2500000</v>
      </c>
      <c r="J3" s="5" cm="1">
        <f t="array" ref="J3:J8">_xlfn.XLOOKUP(,B3,Creditscore_customerid,credit_score_)</f>
        <v>780</v>
      </c>
      <c r="K3" s="6">
        <f>I3/F3</f>
        <v>2.9411764705882355</v>
      </c>
      <c r="L3" s="5" t="str">
        <f>IF(K3&gt;5,"High Risk","Normal")</f>
        <v>Normal</v>
      </c>
      <c r="M3" s="5" t="s">
        <v>4</v>
      </c>
      <c r="N3" s="12">
        <v>8.5000000000000006E-2</v>
      </c>
    </row>
    <row r="4" spans="1:14" x14ac:dyDescent="0.3">
      <c r="A4" s="5" t="s">
        <v>81</v>
      </c>
      <c r="B4" s="5" t="s">
        <v>69</v>
      </c>
      <c r="C4" s="5" t="str" cm="1">
        <f t="array" ref="C4">_xlfn.XLOOKUP(B4,customer_id,full_name)</f>
        <v>Anita Verma</v>
      </c>
      <c r="D4" s="5" cm="1">
        <f t="array" ref="D4">_xlfn.XLOOKUP(B4,customer_id,age)</f>
        <v>28</v>
      </c>
      <c r="E4" s="5" t="str" cm="1">
        <f t="array" ref="E4">_xlfn.XLOOKUP(B4,customer_id,city)</f>
        <v>Pune</v>
      </c>
      <c r="F4" s="5" cm="1">
        <f t="array" ref="F4">_xlfn.XLOOKUP(B4,customer_id,annual_income)</f>
        <v>620000</v>
      </c>
      <c r="G4" s="5" t="str" cm="1">
        <f t="array" ref="G4">_xlfn.XLOOKUP(A4,loan_id,loan_type)</f>
        <v>Personal Loan</v>
      </c>
      <c r="H4" s="5" t="s">
        <v>46</v>
      </c>
      <c r="I4" s="5" cm="1">
        <f t="array" ref="I4">_xlfn.XLOOKUP(A4,loan_id,loan_amount)</f>
        <v>300000</v>
      </c>
      <c r="J4" s="5">
        <v>710</v>
      </c>
      <c r="K4" s="6">
        <f t="shared" ref="K4:K8" si="0">I4/F4</f>
        <v>0.4838709677419355</v>
      </c>
      <c r="L4" s="5" t="str">
        <f t="shared" ref="L4:L8" si="1">IF(K4&gt;5,"High Risk","Normal")</f>
        <v>Normal</v>
      </c>
      <c r="M4" s="5" t="s">
        <v>6</v>
      </c>
      <c r="N4" s="12">
        <v>0.13</v>
      </c>
    </row>
    <row r="5" spans="1:14" x14ac:dyDescent="0.3">
      <c r="A5" s="5" t="s">
        <v>82</v>
      </c>
      <c r="B5" s="5" t="s">
        <v>78</v>
      </c>
      <c r="C5" s="5" t="str" cm="1">
        <f t="array" ref="C5">_xlfn.XLOOKUP(B5,customer_id,full_name)</f>
        <v>Suresh Patil</v>
      </c>
      <c r="D5" s="5" cm="1">
        <f t="array" ref="D5">_xlfn.XLOOKUP(B5,customer_id,age)</f>
        <v>45</v>
      </c>
      <c r="E5" s="5" t="str" cm="1">
        <f t="array" ref="E5">_xlfn.XLOOKUP(B5,customer_id,city)</f>
        <v>Nagpur</v>
      </c>
      <c r="F5" s="5" cm="1">
        <f t="array" ref="F5">_xlfn.XLOOKUP(B5,customer_id,annual_income)</f>
        <v>1200000</v>
      </c>
      <c r="G5" s="5" t="str" cm="1">
        <f t="array" ref="G5">_xlfn.XLOOKUP(A5,loan_id,loan_type)</f>
        <v>Business Loan</v>
      </c>
      <c r="H5" s="10" t="s">
        <v>51</v>
      </c>
      <c r="I5" s="5" cm="1">
        <f t="array" ref="I5">_xlfn.XLOOKUP(A5,loan_id,loan_amount)</f>
        <v>1500000</v>
      </c>
      <c r="J5" s="5">
        <v>640</v>
      </c>
      <c r="K5" s="6">
        <f t="shared" si="0"/>
        <v>1.25</v>
      </c>
      <c r="L5" s="5" t="str">
        <f t="shared" si="1"/>
        <v>Normal</v>
      </c>
      <c r="M5" s="5" t="s">
        <v>8</v>
      </c>
      <c r="N5" s="12">
        <v>0.115</v>
      </c>
    </row>
    <row r="6" spans="1:14" x14ac:dyDescent="0.3">
      <c r="A6" s="5" t="s">
        <v>83</v>
      </c>
      <c r="B6" s="5" t="s">
        <v>71</v>
      </c>
      <c r="C6" s="5" t="str" cm="1">
        <f t="array" ref="C6">_xlfn.XLOOKUP(B6,customer_id,full_name)</f>
        <v>Pooja Singh</v>
      </c>
      <c r="D6" s="5" cm="1">
        <f t="array" ref="D6">_xlfn.XLOOKUP(B6,customer_id,age)</f>
        <v>36</v>
      </c>
      <c r="E6" s="5" t="str" cm="1">
        <f t="array" ref="E6">_xlfn.XLOOKUP(B6,customer_id,city)</f>
        <v>Delhi</v>
      </c>
      <c r="F6" s="5" cm="1">
        <f t="array" ref="F6">_xlfn.XLOOKUP(B6,customer_id,annual_income)</f>
        <v>780000</v>
      </c>
      <c r="G6" s="5" t="str" cm="1">
        <f t="array" ref="G6">_xlfn.XLOOKUP(A6,loan_id,loan_type)</f>
        <v>Car Loan</v>
      </c>
      <c r="H6" s="5" t="s">
        <v>46</v>
      </c>
      <c r="I6" s="5" cm="1">
        <f t="array" ref="I6">_xlfn.XLOOKUP(A6,loan_id,loan_amount)</f>
        <v>600000</v>
      </c>
      <c r="J6" s="5">
        <v>750</v>
      </c>
      <c r="K6" s="6">
        <f t="shared" si="0"/>
        <v>0.76923076923076927</v>
      </c>
      <c r="L6" s="5" t="str">
        <f t="shared" si="1"/>
        <v>Normal</v>
      </c>
      <c r="M6" s="5" t="s">
        <v>4</v>
      </c>
      <c r="N6" s="12">
        <v>9.5000000000000001E-2</v>
      </c>
    </row>
    <row r="7" spans="1:14" x14ac:dyDescent="0.3">
      <c r="A7" s="5" t="s">
        <v>84</v>
      </c>
      <c r="B7" s="5" t="s">
        <v>72</v>
      </c>
      <c r="C7" s="5" t="str" cm="1">
        <f t="array" ref="C7">_xlfn.XLOOKUP(B7,customer_id,full_name)</f>
        <v>Amit Kulkarni</v>
      </c>
      <c r="D7" s="5" cm="1">
        <f t="array" ref="D7">_xlfn.XLOOKUP(B7,customer_id,age)</f>
        <v>50</v>
      </c>
      <c r="E7" s="5" t="str" cm="1">
        <f t="array" ref="E7">_xlfn.XLOOKUP(B7,customer_id,city)</f>
        <v>Bangalore</v>
      </c>
      <c r="F7" s="5" cm="1">
        <f t="array" ref="F7">_xlfn.XLOOKUP(B7,customer_id,annual_income)</f>
        <v>1500000</v>
      </c>
      <c r="G7" s="5" t="str" cm="1">
        <f t="array" ref="G7">_xlfn.XLOOKUP(A7,loan_id,loan_type)</f>
        <v>Business Loan</v>
      </c>
      <c r="H7" s="10" t="s">
        <v>46</v>
      </c>
      <c r="I7" s="5" cm="1">
        <f t="array" ref="I7">_xlfn.XLOOKUP(A7,loan_id,loan_amount)</f>
        <v>3000000</v>
      </c>
      <c r="J7" s="5">
        <v>720</v>
      </c>
      <c r="K7" s="6">
        <f t="shared" si="0"/>
        <v>2</v>
      </c>
      <c r="L7" s="5" t="str">
        <f t="shared" si="1"/>
        <v>Normal</v>
      </c>
      <c r="M7" s="5" t="s">
        <v>6</v>
      </c>
      <c r="N7" s="12">
        <v>0.12</v>
      </c>
    </row>
    <row r="8" spans="1:14" x14ac:dyDescent="0.3">
      <c r="A8" s="5" t="s">
        <v>85</v>
      </c>
      <c r="B8" s="5" t="s">
        <v>79</v>
      </c>
      <c r="C8" s="5" t="str" cm="1">
        <f t="array" ref="C8">_xlfn.XLOOKUP(B8,customer_id,full_name)</f>
        <v>Neha Joshi</v>
      </c>
      <c r="D8" s="5" cm="1">
        <f t="array" ref="D8">_xlfn.XLOOKUP(B8,customer_id,age)</f>
        <v>26</v>
      </c>
      <c r="E8" s="5" t="str" cm="1">
        <f t="array" ref="E8">_xlfn.XLOOKUP(B8,customer_id,city)</f>
        <v>Nashik</v>
      </c>
      <c r="F8" s="5" cm="1">
        <f t="array" ref="F8">_xlfn.XLOOKUP(B8,customer_id,annual_income)</f>
        <v>480000</v>
      </c>
      <c r="G8" s="5" t="str" cm="1">
        <f t="array" ref="G8">_xlfn.XLOOKUP(A8,loan_id,loan_type)</f>
        <v>Personal Loan</v>
      </c>
      <c r="H8" s="5" t="s">
        <v>56</v>
      </c>
      <c r="I8" s="5" cm="1">
        <f t="array" ref="I8">_xlfn.XLOOKUP(A8,loan_id,loan_amount)</f>
        <v>200000</v>
      </c>
      <c r="J8" s="5">
        <v>680</v>
      </c>
      <c r="K8" s="6">
        <f t="shared" si="0"/>
        <v>0.41666666666666669</v>
      </c>
      <c r="L8" s="5" t="str">
        <f t="shared" si="1"/>
        <v>Normal</v>
      </c>
      <c r="M8" s="5" t="s">
        <v>6</v>
      </c>
      <c r="N8" s="12">
        <v>0.14000000000000001</v>
      </c>
    </row>
    <row r="11" spans="1:14" ht="31.2" x14ac:dyDescent="0.3">
      <c r="A11" s="17" t="s">
        <v>99</v>
      </c>
      <c r="B11" s="17"/>
      <c r="C11" s="17"/>
      <c r="D11" s="17"/>
      <c r="E11" s="17"/>
      <c r="F11" s="17"/>
      <c r="G11" s="17"/>
      <c r="H11" s="17"/>
    </row>
    <row r="12" spans="1:14" x14ac:dyDescent="0.3">
      <c r="A12" s="4" t="s">
        <v>57</v>
      </c>
      <c r="B12" s="4" t="s">
        <v>73</v>
      </c>
      <c r="C12" s="4" t="s">
        <v>100</v>
      </c>
      <c r="D12" s="4" t="s">
        <v>59</v>
      </c>
      <c r="E12" s="4" t="s">
        <v>101</v>
      </c>
      <c r="F12" s="4" t="s">
        <v>90</v>
      </c>
      <c r="G12" s="4" t="s">
        <v>102</v>
      </c>
      <c r="H12" s="4" t="s">
        <v>103</v>
      </c>
    </row>
    <row r="13" spans="1:14" x14ac:dyDescent="0.3">
      <c r="A13" s="10" t="s">
        <v>61</v>
      </c>
      <c r="B13" s="5" t="s">
        <v>80</v>
      </c>
      <c r="C13" s="15">
        <v>45296</v>
      </c>
      <c r="D13" s="5">
        <f t="shared" ref="D13:D18" si="2">_xlfn.XLOOKUP(A13,payment_id,emi_amount)</f>
        <v>21500</v>
      </c>
      <c r="E13" s="5" t="str">
        <f t="shared" ref="E13:E18" si="3">_xlfn.XLOOKUP(A13,payment_id,payment_status)</f>
        <v>Paid</v>
      </c>
      <c r="F13" s="5" t="str" cm="1">
        <f t="array" ref="F13">_xlfn.XLOOKUP(B13,loan_id,loan_type)</f>
        <v>Home Loan</v>
      </c>
      <c r="G13" s="5" t="str" cm="1">
        <f t="array" ref="G13:G18">_xlfn.XLOOKUP(,B13,loan_id,Customer_id_loan)</f>
        <v>C001</v>
      </c>
      <c r="H13" s="5" t="str" cm="1">
        <f t="array" ref="H13">_xlfn.XLOOKUP(G13,customer_id,full_name)</f>
        <v>Rahul Sharma</v>
      </c>
    </row>
    <row r="14" spans="1:14" x14ac:dyDescent="0.3">
      <c r="A14" s="5" t="s">
        <v>63</v>
      </c>
      <c r="B14" s="5" t="s">
        <v>81</v>
      </c>
      <c r="C14" s="16">
        <v>45327</v>
      </c>
      <c r="D14" s="5">
        <f t="shared" si="2"/>
        <v>21500</v>
      </c>
      <c r="E14" s="5" t="str">
        <f t="shared" si="3"/>
        <v>Paid</v>
      </c>
      <c r="F14" s="5" t="str" cm="1">
        <f t="array" ref="F14">_xlfn.XLOOKUP(B14,loan_id,loan_type)</f>
        <v>Personal Loan</v>
      </c>
      <c r="G14" s="5" t="str">
        <v>C002</v>
      </c>
      <c r="H14" s="5" t="str" cm="1">
        <f t="array" ref="H14">_xlfn.XLOOKUP(G14,customer_id,full_name)</f>
        <v>Anita Verma</v>
      </c>
    </row>
    <row r="15" spans="1:14" x14ac:dyDescent="0.3">
      <c r="A15" s="10" t="s">
        <v>64</v>
      </c>
      <c r="B15" s="5" t="s">
        <v>82</v>
      </c>
      <c r="C15" s="15">
        <v>45301</v>
      </c>
      <c r="D15" s="5">
        <f t="shared" si="2"/>
        <v>6900</v>
      </c>
      <c r="E15" s="5" t="str">
        <f t="shared" si="3"/>
        <v>Paid</v>
      </c>
      <c r="F15" s="5" t="str" cm="1">
        <f t="array" ref="F15">_xlfn.XLOOKUP(B15,loan_id,loan_type)</f>
        <v>Business Loan</v>
      </c>
      <c r="G15" s="5" t="str">
        <v>C003</v>
      </c>
      <c r="H15" s="5" t="str" cm="1">
        <f t="array" ref="H15">_xlfn.XLOOKUP(G15,customer_id,full_name)</f>
        <v>Suresh Patil</v>
      </c>
    </row>
    <row r="16" spans="1:14" x14ac:dyDescent="0.3">
      <c r="A16" s="5" t="s">
        <v>65</v>
      </c>
      <c r="B16" s="5" t="s">
        <v>83</v>
      </c>
      <c r="C16" s="16">
        <v>45332</v>
      </c>
      <c r="D16" s="5">
        <f t="shared" si="2"/>
        <v>6900</v>
      </c>
      <c r="E16" s="5" t="str">
        <f t="shared" si="3"/>
        <v>Missed</v>
      </c>
      <c r="F16" s="5" t="str" cm="1">
        <f t="array" ref="F16">_xlfn.XLOOKUP(B16,loan_id,loan_type)</f>
        <v>Car Loan</v>
      </c>
      <c r="G16" s="5" t="str">
        <v>C004</v>
      </c>
      <c r="H16" s="5" t="str" cm="1">
        <f t="array" ref="H16">_xlfn.XLOOKUP(G16,customer_id,full_name)</f>
        <v>Pooja Singh</v>
      </c>
    </row>
    <row r="17" spans="1:8" x14ac:dyDescent="0.3">
      <c r="A17" s="10" t="s">
        <v>67</v>
      </c>
      <c r="B17" s="5" t="s">
        <v>84</v>
      </c>
      <c r="C17" s="15">
        <v>45303</v>
      </c>
      <c r="D17" s="5">
        <f t="shared" si="2"/>
        <v>9800</v>
      </c>
      <c r="E17" s="5" t="str">
        <f t="shared" si="3"/>
        <v>Paid</v>
      </c>
      <c r="F17" s="5" t="str" cm="1">
        <f t="array" ref="F17">_xlfn.XLOOKUP(B17,loan_id,loan_type)</f>
        <v>Business Loan</v>
      </c>
      <c r="G17" s="5" t="str">
        <v>C005</v>
      </c>
      <c r="H17" s="5" t="str" cm="1">
        <f t="array" ref="H17">_xlfn.XLOOKUP(G17,customer_id,full_name)</f>
        <v>Amit Kulkarni</v>
      </c>
    </row>
    <row r="18" spans="1:8" x14ac:dyDescent="0.3">
      <c r="A18" s="5" t="s">
        <v>68</v>
      </c>
      <c r="B18" s="5" t="s">
        <v>85</v>
      </c>
      <c r="C18" s="16">
        <v>45309</v>
      </c>
      <c r="D18" s="5">
        <f t="shared" si="2"/>
        <v>32000</v>
      </c>
      <c r="E18" s="5" t="str">
        <f t="shared" si="3"/>
        <v>Paid</v>
      </c>
      <c r="F18" s="5" t="str" cm="1">
        <f t="array" ref="F18">_xlfn.XLOOKUP(B18,loan_id,loan_type)</f>
        <v>Personal Loan</v>
      </c>
      <c r="G18" s="5" t="str">
        <v>C006</v>
      </c>
      <c r="H18" s="5" t="str" cm="1">
        <f t="array" ref="H18">_xlfn.XLOOKUP(G18,customer_id,full_name)</f>
        <v>Neha Joshi</v>
      </c>
    </row>
  </sheetData>
  <mergeCells count="1">
    <mergeCell ref="A11:H1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1D57-0603-4D2A-9D2D-61A7A78FAD7A}">
  <dimension ref="A1:I8"/>
  <sheetViews>
    <sheetView workbookViewId="0">
      <selection activeCell="K5" sqref="K5"/>
    </sheetView>
  </sheetViews>
  <sheetFormatPr defaultRowHeight="14.4" x14ac:dyDescent="0.3"/>
  <cols>
    <col min="1" max="1" width="12.5546875" bestFit="1" customWidth="1"/>
    <col min="2" max="2" width="15.5546875" bestFit="1" customWidth="1"/>
    <col min="3" max="3" width="19" bestFit="1" customWidth="1"/>
    <col min="4" max="4" width="15.5546875" bestFit="1" customWidth="1"/>
    <col min="5" max="5" width="19" bestFit="1" customWidth="1"/>
    <col min="6" max="6" width="15.5546875" bestFit="1" customWidth="1"/>
    <col min="7" max="7" width="19" bestFit="1" customWidth="1"/>
    <col min="8" max="8" width="20.33203125" bestFit="1" customWidth="1"/>
    <col min="9" max="9" width="23.77734375" bestFit="1" customWidth="1"/>
  </cols>
  <sheetData>
    <row r="1" spans="1:9" x14ac:dyDescent="0.3">
      <c r="B1" s="7" t="s">
        <v>89</v>
      </c>
    </row>
    <row r="2" spans="1:9" x14ac:dyDescent="0.3">
      <c r="B2" t="s">
        <v>46</v>
      </c>
      <c r="D2" t="s">
        <v>56</v>
      </c>
      <c r="F2" t="s">
        <v>51</v>
      </c>
      <c r="H2" t="s">
        <v>93</v>
      </c>
      <c r="I2" t="s">
        <v>94</v>
      </c>
    </row>
    <row r="3" spans="1:9" x14ac:dyDescent="0.3">
      <c r="A3" s="7" t="s">
        <v>86</v>
      </c>
      <c r="B3" t="s">
        <v>92</v>
      </c>
      <c r="C3" t="s">
        <v>95</v>
      </c>
      <c r="D3" t="s">
        <v>92</v>
      </c>
      <c r="E3" t="s">
        <v>95</v>
      </c>
      <c r="F3" t="s">
        <v>92</v>
      </c>
      <c r="G3" t="s">
        <v>95</v>
      </c>
    </row>
    <row r="4" spans="1:9" x14ac:dyDescent="0.3">
      <c r="A4" s="8" t="s">
        <v>50</v>
      </c>
      <c r="B4">
        <v>1</v>
      </c>
      <c r="C4">
        <v>3000000</v>
      </c>
      <c r="F4">
        <v>1</v>
      </c>
      <c r="G4">
        <v>1500000</v>
      </c>
      <c r="H4">
        <v>2</v>
      </c>
      <c r="I4">
        <v>4500000</v>
      </c>
    </row>
    <row r="5" spans="1:9" x14ac:dyDescent="0.3">
      <c r="A5" s="8" t="s">
        <v>53</v>
      </c>
      <c r="B5">
        <v>1</v>
      </c>
      <c r="C5">
        <v>600000</v>
      </c>
      <c r="H5">
        <v>1</v>
      </c>
      <c r="I5">
        <v>600000</v>
      </c>
    </row>
    <row r="6" spans="1:9" x14ac:dyDescent="0.3">
      <c r="A6" s="8" t="s">
        <v>45</v>
      </c>
      <c r="B6">
        <v>1</v>
      </c>
      <c r="C6">
        <v>2500000</v>
      </c>
      <c r="H6">
        <v>1</v>
      </c>
      <c r="I6">
        <v>2500000</v>
      </c>
    </row>
    <row r="7" spans="1:9" x14ac:dyDescent="0.3">
      <c r="A7" s="8" t="s">
        <v>48</v>
      </c>
      <c r="B7">
        <v>1</v>
      </c>
      <c r="C7">
        <v>300000</v>
      </c>
      <c r="D7">
        <v>1</v>
      </c>
      <c r="E7">
        <v>200000</v>
      </c>
      <c r="H7">
        <v>2</v>
      </c>
      <c r="I7">
        <v>500000</v>
      </c>
    </row>
    <row r="8" spans="1:9" x14ac:dyDescent="0.3">
      <c r="A8" s="8" t="s">
        <v>87</v>
      </c>
      <c r="B8">
        <v>4</v>
      </c>
      <c r="C8">
        <v>6400000</v>
      </c>
      <c r="D8">
        <v>1</v>
      </c>
      <c r="E8">
        <v>200000</v>
      </c>
      <c r="F8">
        <v>1</v>
      </c>
      <c r="G8">
        <v>1500000</v>
      </c>
      <c r="H8">
        <v>6</v>
      </c>
      <c r="I8">
        <v>8100000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C390-3FED-475B-B57F-A521AD5A7B80}">
  <dimension ref="A1:C8"/>
  <sheetViews>
    <sheetView workbookViewId="0">
      <selection activeCell="C3" sqref="C3"/>
    </sheetView>
  </sheetViews>
  <sheetFormatPr defaultRowHeight="14.4" x14ac:dyDescent="0.3"/>
  <cols>
    <col min="1" max="1" width="12.5546875" bestFit="1" customWidth="1"/>
    <col min="2" max="2" width="15.5546875" bestFit="1" customWidth="1"/>
    <col min="3" max="3" width="19" bestFit="1" customWidth="1"/>
    <col min="4" max="4" width="19.6640625" bestFit="1" customWidth="1"/>
  </cols>
  <sheetData>
    <row r="1" spans="1:3" x14ac:dyDescent="0.3">
      <c r="A1" s="7" t="s">
        <v>90</v>
      </c>
      <c r="B1" t="s">
        <v>104</v>
      </c>
    </row>
    <row r="3" spans="1:3" x14ac:dyDescent="0.3">
      <c r="A3" s="7" t="s">
        <v>86</v>
      </c>
      <c r="B3" t="s">
        <v>92</v>
      </c>
      <c r="C3" t="s">
        <v>95</v>
      </c>
    </row>
    <row r="4" spans="1:3" x14ac:dyDescent="0.3">
      <c r="A4" s="8" t="s">
        <v>88</v>
      </c>
      <c r="B4">
        <v>6</v>
      </c>
      <c r="C4">
        <v>8100000</v>
      </c>
    </row>
    <row r="5" spans="1:3" x14ac:dyDescent="0.3">
      <c r="A5" s="9" t="s">
        <v>8</v>
      </c>
      <c r="B5">
        <v>1</v>
      </c>
      <c r="C5">
        <v>1500000</v>
      </c>
    </row>
    <row r="6" spans="1:3" x14ac:dyDescent="0.3">
      <c r="A6" s="9" t="s">
        <v>4</v>
      </c>
      <c r="B6">
        <v>2</v>
      </c>
      <c r="C6">
        <v>3100000</v>
      </c>
    </row>
    <row r="7" spans="1:3" x14ac:dyDescent="0.3">
      <c r="A7" s="9" t="s">
        <v>6</v>
      </c>
      <c r="B7">
        <v>3</v>
      </c>
      <c r="C7">
        <v>3500000</v>
      </c>
    </row>
    <row r="8" spans="1:3" x14ac:dyDescent="0.3">
      <c r="A8" s="8" t="s">
        <v>87</v>
      </c>
      <c r="B8">
        <v>6</v>
      </c>
      <c r="C8">
        <v>8100000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FBB9-055E-4A59-AFB9-33C0F1A1FEE1}">
  <dimension ref="A1:C4"/>
  <sheetViews>
    <sheetView workbookViewId="0">
      <selection activeCell="J23" sqref="J23"/>
    </sheetView>
  </sheetViews>
  <sheetFormatPr defaultRowHeight="14.4" x14ac:dyDescent="0.3"/>
  <cols>
    <col min="1" max="1" width="12.5546875" bestFit="1" customWidth="1"/>
    <col min="2" max="2" width="19.109375" bestFit="1" customWidth="1"/>
    <col min="3" max="3" width="18.44140625" bestFit="1" customWidth="1"/>
  </cols>
  <sheetData>
    <row r="1" spans="1:3" x14ac:dyDescent="0.3">
      <c r="A1" s="7" t="s">
        <v>86</v>
      </c>
      <c r="B1" t="s">
        <v>97</v>
      </c>
      <c r="C1" t="s">
        <v>96</v>
      </c>
    </row>
    <row r="2" spans="1:3" x14ac:dyDescent="0.3">
      <c r="A2" s="8" t="s">
        <v>66</v>
      </c>
      <c r="B2">
        <v>1</v>
      </c>
      <c r="C2">
        <v>6900</v>
      </c>
    </row>
    <row r="3" spans="1:3" x14ac:dyDescent="0.3">
      <c r="A3" s="8" t="s">
        <v>62</v>
      </c>
      <c r="B3">
        <v>5</v>
      </c>
      <c r="C3">
        <v>91700</v>
      </c>
    </row>
    <row r="4" spans="1:3" x14ac:dyDescent="0.3">
      <c r="A4" s="8" t="s">
        <v>87</v>
      </c>
      <c r="B4">
        <v>6</v>
      </c>
      <c r="C4">
        <v>98600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6404-B103-497B-B289-771E6CEBCC29}">
  <dimension ref="A1"/>
  <sheetViews>
    <sheetView showGridLines="0" tabSelected="1" workbookViewId="0">
      <selection activeCell="U6" sqref="U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AF7D35-4562-47E1-AE6C-2848A3CDC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Credit_score</vt:lpstr>
      <vt:lpstr>customers</vt:lpstr>
      <vt:lpstr>Loan_application</vt:lpstr>
      <vt:lpstr>loan_payments</vt:lpstr>
      <vt:lpstr>Cleaned Data</vt:lpstr>
      <vt:lpstr>Loan_Summary_Pivot</vt:lpstr>
      <vt:lpstr>Risk_Analysis_Pivot</vt:lpstr>
      <vt:lpstr>EMI_Analysis_Pivot</vt:lpstr>
      <vt:lpstr>Dashboard</vt:lpstr>
      <vt:lpstr>age</vt:lpstr>
      <vt:lpstr>annual_income</vt:lpstr>
      <vt:lpstr>city</vt:lpstr>
      <vt:lpstr>credit_score_</vt:lpstr>
      <vt:lpstr>Creditscore_customerid</vt:lpstr>
      <vt:lpstr>customer_id</vt:lpstr>
      <vt:lpstr>Customer_id_loan</vt:lpstr>
      <vt:lpstr>emi_amount</vt:lpstr>
      <vt:lpstr>full_name</vt:lpstr>
      <vt:lpstr>interest_rate</vt:lpstr>
      <vt:lpstr>loan_amount</vt:lpstr>
      <vt:lpstr>loan_id</vt:lpstr>
      <vt:lpstr>loan_status</vt:lpstr>
      <vt:lpstr>loan_type</vt:lpstr>
      <vt:lpstr>Male</vt:lpstr>
      <vt:lpstr>marital_status</vt:lpstr>
      <vt:lpstr>payment_id</vt:lpstr>
      <vt:lpstr>payment_status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gaikwad</dc:creator>
  <cp:lastModifiedBy>sushil gaikwad</cp:lastModifiedBy>
  <dcterms:created xsi:type="dcterms:W3CDTF">2026-01-19T13:59:13Z</dcterms:created>
  <dcterms:modified xsi:type="dcterms:W3CDTF">2026-01-20T12:44:12Z</dcterms:modified>
</cp:coreProperties>
</file>